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7D774D0E-5684-42EE-8A91-3B309892D016}" xr6:coauthVersionLast="36" xr6:coauthVersionMax="36" xr10:uidLastSave="{00000000-0000-0000-0000-000000000000}"/>
  <bookViews>
    <workbookView xWindow="0" yWindow="0" windowWidth="16350" windowHeight="7995" activeTab="5" xr2:uid="{00000000-000D-0000-FFFF-FFFF00000000}"/>
  </bookViews>
  <sheets>
    <sheet name="exetime" sheetId="1" r:id="rId1"/>
    <sheet name="nscure" sheetId="6" r:id="rId2"/>
    <sheet name="stash_size" sheetId="2" r:id="rId3"/>
    <sheet name="eviction_level" sheetId="3" r:id="rId4"/>
    <sheet name="hit location" sheetId="4" r:id="rId5"/>
    <sheet name="Sensitive" sheetId="7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4" i="6" l="1"/>
  <c r="S33" i="6"/>
  <c r="S32" i="6"/>
  <c r="S31" i="6"/>
  <c r="T34" i="6"/>
  <c r="T33" i="6"/>
  <c r="T32" i="6"/>
  <c r="T31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1" i="6"/>
  <c r="AI71" i="1"/>
  <c r="AH71" i="1"/>
  <c r="AG71" i="1"/>
  <c r="AF71" i="1"/>
  <c r="AL66" i="1"/>
  <c r="C67" i="1"/>
  <c r="D67" i="1"/>
  <c r="E67" i="1"/>
  <c r="F67" i="1"/>
  <c r="G67" i="1"/>
  <c r="H67" i="1"/>
  <c r="I67" i="1"/>
  <c r="J67" i="1"/>
  <c r="K67" i="1"/>
  <c r="M67" i="1"/>
  <c r="N67" i="1"/>
  <c r="O67" i="1"/>
  <c r="P67" i="1"/>
  <c r="Q67" i="1"/>
  <c r="R67" i="1"/>
  <c r="S67" i="1"/>
  <c r="T67" i="1"/>
  <c r="U67" i="1"/>
  <c r="V67" i="1"/>
  <c r="X67" i="1"/>
  <c r="Y67" i="1"/>
  <c r="Z67" i="1"/>
  <c r="AA67" i="1"/>
  <c r="AB67" i="1"/>
  <c r="AC67" i="1"/>
  <c r="AD67" i="1"/>
  <c r="AE67" i="1"/>
  <c r="AF67" i="1"/>
  <c r="AG67" i="1"/>
  <c r="AI67" i="1"/>
  <c r="AJ67" i="1"/>
  <c r="AK67" i="1"/>
  <c r="AK66" i="1"/>
  <c r="AJ66" i="1"/>
  <c r="AI66" i="1"/>
  <c r="B67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B46" i="1"/>
  <c r="M34" i="6"/>
  <c r="L34" i="6"/>
  <c r="G2" i="6"/>
  <c r="G3" i="6"/>
  <c r="G4" i="6"/>
  <c r="G35" i="6"/>
  <c r="G6" i="6"/>
  <c r="G7" i="6"/>
  <c r="G8" i="6"/>
  <c r="G9" i="6"/>
  <c r="G10" i="6"/>
  <c r="G11" i="6"/>
  <c r="G12" i="6"/>
  <c r="G13" i="6"/>
  <c r="G14" i="6"/>
  <c r="G15" i="6"/>
  <c r="G36" i="6"/>
  <c r="G17" i="6"/>
  <c r="G18" i="6"/>
  <c r="G19" i="6"/>
  <c r="G20" i="6"/>
  <c r="G21" i="6"/>
  <c r="G22" i="6"/>
  <c r="G23" i="6"/>
  <c r="G24" i="6"/>
  <c r="G25" i="6"/>
  <c r="G26" i="6"/>
  <c r="G37" i="6"/>
  <c r="G28" i="6"/>
  <c r="G29" i="6"/>
  <c r="G30" i="6"/>
  <c r="G31" i="6"/>
  <c r="G32" i="6"/>
  <c r="G33" i="6"/>
  <c r="G1" i="6"/>
  <c r="E2" i="6"/>
  <c r="E3" i="6"/>
  <c r="E4" i="6"/>
  <c r="E35" i="6"/>
  <c r="E6" i="6"/>
  <c r="E7" i="6"/>
  <c r="E8" i="6"/>
  <c r="E9" i="6"/>
  <c r="E10" i="6"/>
  <c r="E11" i="6"/>
  <c r="E12" i="6"/>
  <c r="E13" i="6"/>
  <c r="E14" i="6"/>
  <c r="E15" i="6"/>
  <c r="E36" i="6"/>
  <c r="E17" i="6"/>
  <c r="E18" i="6"/>
  <c r="E19" i="6"/>
  <c r="E20" i="6"/>
  <c r="E21" i="6"/>
  <c r="E22" i="6"/>
  <c r="E23" i="6"/>
  <c r="E24" i="6"/>
  <c r="E25" i="6"/>
  <c r="E26" i="6"/>
  <c r="E37" i="6"/>
  <c r="E28" i="6"/>
  <c r="E29" i="6"/>
  <c r="E30" i="6"/>
  <c r="E31" i="6"/>
  <c r="E32" i="6"/>
  <c r="E33" i="6"/>
  <c r="E1" i="6"/>
  <c r="AL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B42" i="1"/>
  <c r="Q34" i="4" l="1"/>
  <c r="AL41" i="1"/>
  <c r="AK41" i="1"/>
  <c r="AJ41" i="1"/>
  <c r="AI41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1" i="1"/>
  <c r="AI39" i="1"/>
  <c r="AI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B39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B38" i="1"/>
  <c r="AL67" i="1"/>
</calcChain>
</file>

<file path=xl/sharedStrings.xml><?xml version="1.0" encoding="utf-8"?>
<sst xmlns="http://schemas.openxmlformats.org/spreadsheetml/2006/main" count="760" uniqueCount="205">
  <si>
    <t xml:space="preserve">1t.output.401.bzip2 </t>
  </si>
  <si>
    <t xml:space="preserve">1t.output.403.gcc </t>
  </si>
  <si>
    <t xml:space="preserve">1t.output.410.bwaves </t>
  </si>
  <si>
    <t xml:space="preserve">1t.output.429.mcf </t>
  </si>
  <si>
    <t xml:space="preserve">1t.output.433.milc </t>
  </si>
  <si>
    <t xml:space="preserve">1t.output.434.zeusmp </t>
  </si>
  <si>
    <t xml:space="preserve">1t.output.436.cactusADM </t>
  </si>
  <si>
    <t xml:space="preserve">1t.output.437.leslie3d </t>
  </si>
  <si>
    <t xml:space="preserve">1t.output.458.sjeng </t>
  </si>
  <si>
    <t xml:space="preserve">1t.output.470.lbm </t>
  </si>
  <si>
    <t xml:space="preserve">1t.output.481.wrf </t>
  </si>
  <si>
    <t xml:space="preserve">2t.output.401.bzip2 </t>
  </si>
  <si>
    <t xml:space="preserve">2t.output.403.gcc </t>
  </si>
  <si>
    <t xml:space="preserve">2t.output.410.bwaves </t>
  </si>
  <si>
    <t xml:space="preserve">2t.output.429.mcf </t>
  </si>
  <si>
    <t xml:space="preserve">2t.output.433.milc </t>
  </si>
  <si>
    <t xml:space="preserve">2t.output.434.zeusmp </t>
  </si>
  <si>
    <t xml:space="preserve">2t.output.436.cactusADM </t>
  </si>
  <si>
    <t xml:space="preserve">2t.output.437.leslie3d </t>
  </si>
  <si>
    <t xml:space="preserve">2t.output.458.sjeng </t>
  </si>
  <si>
    <t xml:space="preserve">2t.output.470.lbm </t>
  </si>
  <si>
    <t xml:space="preserve">2t.output.481.wrf </t>
  </si>
  <si>
    <t xml:space="preserve">4t.output.401.bzip2 </t>
  </si>
  <si>
    <t xml:space="preserve">4t.output.403.gcc </t>
  </si>
  <si>
    <t xml:space="preserve">4t.output.410.bwaves </t>
  </si>
  <si>
    <t xml:space="preserve">4t.output.429.mcf </t>
  </si>
  <si>
    <t xml:space="preserve">4t.output.433.milc </t>
  </si>
  <si>
    <t xml:space="preserve">4t.output.434.zeusmp </t>
  </si>
  <si>
    <t xml:space="preserve">4t.output.436.cactusADM </t>
  </si>
  <si>
    <t xml:space="preserve">4t.output.437.leslie3d </t>
  </si>
  <si>
    <t xml:space="preserve">4t.output.458.sjeng </t>
  </si>
  <si>
    <t xml:space="preserve">4t.output.470.lbm </t>
  </si>
  <si>
    <t xml:space="preserve">4t.output.481.wrf </t>
  </si>
  <si>
    <t xml:space="preserve">emca.1t.output.401.bzip2 </t>
  </si>
  <si>
    <t xml:space="preserve">emca.1t.output.403.gcc </t>
  </si>
  <si>
    <t xml:space="preserve">emca.1t.output.410.bwaves </t>
  </si>
  <si>
    <t xml:space="preserve">emca.1t.output.429.mcf </t>
  </si>
  <si>
    <t xml:space="preserve">emca.1t.output.433.milc </t>
  </si>
  <si>
    <t xml:space="preserve">emca.1t.output.434.zeusmp </t>
  </si>
  <si>
    <t xml:space="preserve">emca.1t.output.436.cactusADM </t>
  </si>
  <si>
    <t xml:space="preserve">emca.1t.output.437.leslie3d </t>
  </si>
  <si>
    <t xml:space="preserve">emca.1t.output.458.sjeng </t>
  </si>
  <si>
    <t xml:space="preserve">emca.1t.output.470.lbm </t>
  </si>
  <si>
    <t xml:space="preserve">emca.1t.output.481.wrf </t>
  </si>
  <si>
    <t xml:space="preserve">emca.2t.output.401.bzip2 </t>
  </si>
  <si>
    <t xml:space="preserve">emca.2t.output.403.gcc </t>
  </si>
  <si>
    <t xml:space="preserve">emca.2t.output.410.bwaves </t>
  </si>
  <si>
    <t xml:space="preserve">emca.2t.output.429.mcf </t>
  </si>
  <si>
    <t xml:space="preserve">emca.2t.output.433.milc </t>
  </si>
  <si>
    <t xml:space="preserve">emca.2t.output.434.zeusmp </t>
  </si>
  <si>
    <t xml:space="preserve">emca.2t.output.436.cactusADM </t>
  </si>
  <si>
    <t xml:space="preserve">emca.2t.output.437.leslie3d </t>
  </si>
  <si>
    <t xml:space="preserve">emca.2t.output.458.sjeng </t>
  </si>
  <si>
    <t xml:space="preserve">emca.2t.output.470.lbm </t>
  </si>
  <si>
    <t xml:space="preserve">emca.2t.output.481.wrf </t>
  </si>
  <si>
    <t xml:space="preserve">emca.4t.output.401.bzip2 </t>
  </si>
  <si>
    <t xml:space="preserve">emca.4t.output.403.gcc </t>
  </si>
  <si>
    <t xml:space="preserve">emca.4t.output.410.bwaves </t>
  </si>
  <si>
    <t xml:space="preserve">emca.4t.output.429.mcf </t>
  </si>
  <si>
    <t xml:space="preserve">emca.4t.output.433.milc </t>
  </si>
  <si>
    <t xml:space="preserve">emca.4t.output.434.zeusmp </t>
  </si>
  <si>
    <t xml:space="preserve">emca.4t.output.436.cactusADM </t>
  </si>
  <si>
    <t xml:space="preserve">emca.4t.output.437.leslie3d </t>
  </si>
  <si>
    <t xml:space="preserve">emca.4t.output.458.sjeng </t>
  </si>
  <si>
    <t xml:space="preserve">emca.4t.output.470.lbm </t>
  </si>
  <si>
    <t xml:space="preserve">emca.4t.output.481.wrf </t>
  </si>
  <si>
    <t>ring</t>
    <phoneticPr fontId="1" type="noConversion"/>
  </si>
  <si>
    <t>emca</t>
    <phoneticPr fontId="1" type="noConversion"/>
  </si>
  <si>
    <t>1t.output.401.bzip2</t>
    <phoneticPr fontId="1" type="noConversion"/>
  </si>
  <si>
    <t>gmean</t>
    <phoneticPr fontId="1" type="noConversion"/>
  </si>
  <si>
    <t>1t</t>
  </si>
  <si>
    <t>bzip2</t>
  </si>
  <si>
    <t xml:space="preserve">gcc </t>
  </si>
  <si>
    <t xml:space="preserve">bwaves </t>
  </si>
  <si>
    <t xml:space="preserve">mcf </t>
  </si>
  <si>
    <t xml:space="preserve">milc </t>
  </si>
  <si>
    <t xml:space="preserve">zeusmp </t>
  </si>
  <si>
    <t xml:space="preserve">cactusADM </t>
  </si>
  <si>
    <t xml:space="preserve">leslie3d </t>
  </si>
  <si>
    <t xml:space="preserve">sjeng </t>
  </si>
  <si>
    <t xml:space="preserve">lbm </t>
  </si>
  <si>
    <t xml:space="preserve">wrf </t>
  </si>
  <si>
    <t>2t</t>
  </si>
  <si>
    <t xml:space="preserve">bzip2 </t>
  </si>
  <si>
    <t>4t</t>
  </si>
  <si>
    <t>.</t>
    <phoneticPr fontId="1" type="noConversion"/>
  </si>
  <si>
    <t>1t.bzip2</t>
  </si>
  <si>
    <t xml:space="preserve">1t.gcc </t>
  </si>
  <si>
    <t xml:space="preserve">1t.bwaves </t>
  </si>
  <si>
    <t xml:space="preserve">1t.mcf </t>
  </si>
  <si>
    <t xml:space="preserve">1t.milc </t>
  </si>
  <si>
    <t xml:space="preserve">1t.zeusmp </t>
  </si>
  <si>
    <t xml:space="preserve">1t.cactusADM </t>
  </si>
  <si>
    <t xml:space="preserve">1t.leslie3d </t>
  </si>
  <si>
    <t xml:space="preserve">1t.sjeng </t>
  </si>
  <si>
    <t xml:space="preserve">1t.lbm </t>
  </si>
  <si>
    <t xml:space="preserve">1t.wrf </t>
  </si>
  <si>
    <t xml:space="preserve">2t.bzip2 </t>
  </si>
  <si>
    <t xml:space="preserve">2t.gcc </t>
  </si>
  <si>
    <t xml:space="preserve">2t.bwaves </t>
  </si>
  <si>
    <t xml:space="preserve">2t.mcf </t>
  </si>
  <si>
    <t xml:space="preserve">2t.milc </t>
  </si>
  <si>
    <t xml:space="preserve">2t.zeusmp </t>
  </si>
  <si>
    <t xml:space="preserve">2t.cactusADM </t>
  </si>
  <si>
    <t xml:space="preserve">2t.leslie3d </t>
  </si>
  <si>
    <t xml:space="preserve">2t.sjeng </t>
  </si>
  <si>
    <t xml:space="preserve">2t.lbm </t>
  </si>
  <si>
    <t xml:space="preserve">2t.wrf </t>
  </si>
  <si>
    <t xml:space="preserve">4t.bzip2 </t>
  </si>
  <si>
    <t xml:space="preserve">4t.gcc </t>
  </si>
  <si>
    <t xml:space="preserve">4t.bwaves </t>
  </si>
  <si>
    <t xml:space="preserve">4t.mcf </t>
  </si>
  <si>
    <t xml:space="preserve">4t.milc </t>
  </si>
  <si>
    <t xml:space="preserve">4t.zeusmp </t>
  </si>
  <si>
    <t xml:space="preserve">4t.cactusADM </t>
  </si>
  <si>
    <t xml:space="preserve">4t.leslie3d </t>
  </si>
  <si>
    <t xml:space="preserve">4t.sjeng </t>
  </si>
  <si>
    <t xml:space="preserve">4t.lbm </t>
  </si>
  <si>
    <t xml:space="preserve">4t.wrf </t>
  </si>
  <si>
    <t>1t.gmean</t>
    <phoneticPr fontId="1" type="noConversion"/>
  </si>
  <si>
    <t>2t.gemean</t>
    <phoneticPr fontId="1" type="noConversion"/>
  </si>
  <si>
    <t>4t.gmean</t>
    <phoneticPr fontId="1" type="noConversion"/>
  </si>
  <si>
    <t>level[0]</t>
  </si>
  <si>
    <t>level[1]</t>
  </si>
  <si>
    <t>level[2]</t>
  </si>
  <si>
    <t>level[3]</t>
  </si>
  <si>
    <t>level[4]</t>
  </si>
  <si>
    <t>level[5]</t>
  </si>
  <si>
    <t>level[6]</t>
  </si>
  <si>
    <t>level[7]</t>
  </si>
  <si>
    <t>level[8]</t>
  </si>
  <si>
    <t>level[9]</t>
  </si>
  <si>
    <t>level[10]</t>
  </si>
  <si>
    <t>level[11]</t>
  </si>
  <si>
    <t>level[12]</t>
  </si>
  <si>
    <t>level[13]</t>
  </si>
  <si>
    <t>level[14]</t>
  </si>
  <si>
    <t>level[15]</t>
  </si>
  <si>
    <t xml:space="preserve"> eviction_count(544649) / touch_count(544649) </t>
  </si>
  <si>
    <t xml:space="preserve"> eviction_count(766382) / touch_count(496886) </t>
  </si>
  <si>
    <t xml:space="preserve"> eviction_count(1267108) / touch_count(499713) </t>
  </si>
  <si>
    <t xml:space="preserve"> eviction_count(2270934) / touch_count(500541) </t>
  </si>
  <si>
    <t xml:space="preserve"> eviction_count(4294205) / touch_count(501024) </t>
  </si>
  <si>
    <t xml:space="preserve"> eviction_count(8271217) / touch_count(499555) </t>
  </si>
  <si>
    <t xml:space="preserve"> eviction_count(16237859) / touch_count(498984) </t>
  </si>
  <si>
    <t xml:space="preserve"> eviction_count(32219277) / touch_count(500118) </t>
  </si>
  <si>
    <t xml:space="preserve"> eviction_count(64233486) / touch_count(499992) </t>
  </si>
  <si>
    <t xml:space="preserve"> eviction_count(128505218) / touch_count(500263) </t>
  </si>
  <si>
    <t xml:space="preserve"> eviction_count(256059234) / touch_count(499524) </t>
  </si>
  <si>
    <t xml:space="preserve"> eviction_count(530408730) / touch_count(499431) </t>
  </si>
  <si>
    <t xml:space="preserve"> eviction_count(1023724715) / touch_count(500267) </t>
  </si>
  <si>
    <t xml:space="preserve"> eviction_count(2143401730) / touch_count(500597) </t>
  </si>
  <si>
    <t xml:space="preserve"> eviction_count(4045049498) / touch_count(499702) </t>
  </si>
  <si>
    <t xml:space="preserve"> eviction_count(16384075520) / touch_count(999999) </t>
  </si>
  <si>
    <t>GMEAN</t>
    <phoneticPr fontId="1" type="noConversion"/>
  </si>
  <si>
    <t xml:space="preserve">non_secure.1t.output.401.bzip2 </t>
  </si>
  <si>
    <t xml:space="preserve">non_secure.1t.output.403.gcc </t>
  </si>
  <si>
    <t xml:space="preserve">non_secure.1t.output.410.bwaves </t>
  </si>
  <si>
    <t xml:space="preserve">non_secure.1t.output.429.mcf </t>
  </si>
  <si>
    <t xml:space="preserve">non_secure.1t.output.433.milc </t>
  </si>
  <si>
    <t xml:space="preserve">non_secure.1t.output.434.zeusmp </t>
  </si>
  <si>
    <t xml:space="preserve">non_secure.1t.output.436.cactusADM </t>
  </si>
  <si>
    <t xml:space="preserve">non_secure.1t.output.437.leslie3d </t>
  </si>
  <si>
    <t xml:space="preserve">non_secure.1t.output.458.sjeng </t>
  </si>
  <si>
    <t xml:space="preserve">non_secure.1t.output.470.lbm </t>
  </si>
  <si>
    <t xml:space="preserve">non_secure.1t.output.481.wrf </t>
  </si>
  <si>
    <t xml:space="preserve">non_secure.2t.output.401.bzip2 </t>
  </si>
  <si>
    <t xml:space="preserve">non_secure.2t.output.403.gcc </t>
  </si>
  <si>
    <t xml:space="preserve">non_secure.2t.output.410.bwaves </t>
  </si>
  <si>
    <t xml:space="preserve">non_secure.2t.output.429.mcf </t>
  </si>
  <si>
    <t xml:space="preserve">non_secure.2t.output.433.milc </t>
  </si>
  <si>
    <t xml:space="preserve">non_secure.2t.output.434.zeusmp </t>
  </si>
  <si>
    <t xml:space="preserve">non_secure.2t.output.436.cactusADM </t>
  </si>
  <si>
    <t xml:space="preserve">non_secure.2t.output.437.leslie3d </t>
  </si>
  <si>
    <t xml:space="preserve">non_secure.2t.output.458.sjeng </t>
  </si>
  <si>
    <t xml:space="preserve">non_secure.2t.output.470.lbm </t>
  </si>
  <si>
    <t xml:space="preserve">non_secure.2t.output.481.wrf </t>
  </si>
  <si>
    <t xml:space="preserve">non_secure.4t.output.401.bzip2 </t>
  </si>
  <si>
    <t xml:space="preserve">non_secure.4t.output.403.gcc </t>
  </si>
  <si>
    <t xml:space="preserve">non_secure.4t.output.410.bwaves </t>
  </si>
  <si>
    <t xml:space="preserve">non_secure.4t.output.429.mcf </t>
  </si>
  <si>
    <t xml:space="preserve">non_secure.4t.output.433.milc </t>
  </si>
  <si>
    <t xml:space="preserve">non_secure.4t.output.434.zeusmp </t>
  </si>
  <si>
    <t xml:space="preserve">non_secure.4t.output.436.cactusADM </t>
  </si>
  <si>
    <t xml:space="preserve">non_secure.4t.output.437.leslie3d </t>
  </si>
  <si>
    <t xml:space="preserve">non_secure.4t.output.458.sjeng </t>
  </si>
  <si>
    <t xml:space="preserve">non_secure.4t.output.470.lbm </t>
  </si>
  <si>
    <t xml:space="preserve">non_secure.4t.output.481.wrf </t>
  </si>
  <si>
    <t>1-thread</t>
    <phoneticPr fontId="1" type="noConversion"/>
  </si>
  <si>
    <t>2-thread</t>
    <phoneticPr fontId="1" type="noConversion"/>
  </si>
  <si>
    <t>4-thread</t>
    <phoneticPr fontId="1" type="noConversion"/>
  </si>
  <si>
    <t>All</t>
    <phoneticPr fontId="1" type="noConversion"/>
  </si>
  <si>
    <t>gmean</t>
    <phoneticPr fontId="1" type="noConversion"/>
  </si>
  <si>
    <t>1t</t>
    <phoneticPr fontId="1" type="noConversion"/>
  </si>
  <si>
    <t>2t</t>
    <phoneticPr fontId="1" type="noConversion"/>
  </si>
  <si>
    <t>4t</t>
    <phoneticPr fontId="1" type="noConversion"/>
  </si>
  <si>
    <t>Ring ORAM</t>
    <phoneticPr fontId="1" type="noConversion"/>
  </si>
  <si>
    <t>Ring ORAM + MASK Slot</t>
    <phoneticPr fontId="1" type="noConversion"/>
  </si>
  <si>
    <t>1t</t>
    <phoneticPr fontId="1" type="noConversion"/>
  </si>
  <si>
    <t>zeusmp</t>
    <phoneticPr fontId="1" type="noConversion"/>
  </si>
  <si>
    <t>2t</t>
    <phoneticPr fontId="1" type="noConversion"/>
  </si>
  <si>
    <t>4t</t>
    <phoneticPr fontId="1" type="noConversion"/>
  </si>
  <si>
    <t>ALL</t>
    <phoneticPr fontId="1" type="noConversion"/>
  </si>
  <si>
    <t>Baseline Ring ORAM</t>
    <phoneticPr fontId="1" type="noConversion"/>
  </si>
  <si>
    <t>Baseline EMCA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</si>
</sst>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exetime!$B$40:$AL$40</c:f>
              <c:strCache>
                <c:ptCount val="37"/>
                <c:pt idx="0">
                  <c:v>1t.bzip2</c:v>
                </c:pt>
                <c:pt idx="1">
                  <c:v>1t.gcc </c:v>
                </c:pt>
                <c:pt idx="2">
                  <c:v>1t.bwaves </c:v>
                </c:pt>
                <c:pt idx="3">
                  <c:v>1t.mcf </c:v>
                </c:pt>
                <c:pt idx="4">
                  <c:v>1t.milc </c:v>
                </c:pt>
                <c:pt idx="5">
                  <c:v>1t.zeusmp </c:v>
                </c:pt>
                <c:pt idx="6">
                  <c:v>1t.cactusADM </c:v>
                </c:pt>
                <c:pt idx="7">
                  <c:v>1t.leslie3d </c:v>
                </c:pt>
                <c:pt idx="8">
                  <c:v>1t.sjeng </c:v>
                </c:pt>
                <c:pt idx="9">
                  <c:v>1t.lbm </c:v>
                </c:pt>
                <c:pt idx="10">
                  <c:v>1t.wrf </c:v>
                </c:pt>
                <c:pt idx="11">
                  <c:v>2t.bzip2 </c:v>
                </c:pt>
                <c:pt idx="12">
                  <c:v>2t.gcc </c:v>
                </c:pt>
                <c:pt idx="13">
                  <c:v>2t.bwaves </c:v>
                </c:pt>
                <c:pt idx="14">
                  <c:v>2t.mcf </c:v>
                </c:pt>
                <c:pt idx="15">
                  <c:v>2t.milc </c:v>
                </c:pt>
                <c:pt idx="16">
                  <c:v>2t.zeusmp </c:v>
                </c:pt>
                <c:pt idx="17">
                  <c:v>2t.cactusADM </c:v>
                </c:pt>
                <c:pt idx="18">
                  <c:v>2t.leslie3d </c:v>
                </c:pt>
                <c:pt idx="19">
                  <c:v>2t.sjeng </c:v>
                </c:pt>
                <c:pt idx="20">
                  <c:v>2t.lbm </c:v>
                </c:pt>
                <c:pt idx="21">
                  <c:v>2t.wrf </c:v>
                </c:pt>
                <c:pt idx="22">
                  <c:v>4t.bzip2 </c:v>
                </c:pt>
                <c:pt idx="23">
                  <c:v>4t.gcc </c:v>
                </c:pt>
                <c:pt idx="24">
                  <c:v>4t.bwaves </c:v>
                </c:pt>
                <c:pt idx="25">
                  <c:v>4t.mcf </c:v>
                </c:pt>
                <c:pt idx="26">
                  <c:v>4t.milc </c:v>
                </c:pt>
                <c:pt idx="27">
                  <c:v>4t.zeusmp </c:v>
                </c:pt>
                <c:pt idx="28">
                  <c:v>4t.cactusADM </c:v>
                </c:pt>
                <c:pt idx="29">
                  <c:v>4t.leslie3d </c:v>
                </c:pt>
                <c:pt idx="30">
                  <c:v>4t.sjeng </c:v>
                </c:pt>
                <c:pt idx="31">
                  <c:v>4t.lbm </c:v>
                </c:pt>
                <c:pt idx="32">
                  <c:v>4t.wrf </c:v>
                </c:pt>
                <c:pt idx="33">
                  <c:v>1t.gmean</c:v>
                </c:pt>
                <c:pt idx="34">
                  <c:v>2t.gemean</c:v>
                </c:pt>
                <c:pt idx="35">
                  <c:v>4t.gmean</c:v>
                </c:pt>
                <c:pt idx="36">
                  <c:v>gmean</c:v>
                </c:pt>
              </c:strCache>
            </c:strRef>
          </c:cat>
          <c:val>
            <c:numRef>
              <c:f>exetime!$B$41:$AL$41</c:f>
              <c:numCache>
                <c:formatCode>General</c:formatCode>
                <c:ptCount val="37"/>
                <c:pt idx="0">
                  <c:v>0.95626357209841295</c:v>
                </c:pt>
                <c:pt idx="1">
                  <c:v>6.8400061754834957E-2</c:v>
                </c:pt>
                <c:pt idx="2">
                  <c:v>0.91678448493044729</c:v>
                </c:pt>
                <c:pt idx="3">
                  <c:v>8.4842583793676377E-3</c:v>
                </c:pt>
                <c:pt idx="4">
                  <c:v>0.46802969703275532</c:v>
                </c:pt>
                <c:pt idx="5">
                  <c:v>0.26822456268389921</c:v>
                </c:pt>
                <c:pt idx="6">
                  <c:v>0.24563150255558619</c:v>
                </c:pt>
                <c:pt idx="7">
                  <c:v>0.14673188916189575</c:v>
                </c:pt>
                <c:pt idx="8">
                  <c:v>0.11329124464223952</c:v>
                </c:pt>
                <c:pt idx="9">
                  <c:v>0.54993943607154872</c:v>
                </c:pt>
                <c:pt idx="10">
                  <c:v>0.76964916145934037</c:v>
                </c:pt>
                <c:pt idx="11">
                  <c:v>1.0830845429626796</c:v>
                </c:pt>
                <c:pt idx="12">
                  <c:v>5.8515906745141226E-2</c:v>
                </c:pt>
                <c:pt idx="13">
                  <c:v>1.1050528901423426</c:v>
                </c:pt>
                <c:pt idx="14">
                  <c:v>5.2417499099412929E-3</c:v>
                </c:pt>
                <c:pt idx="15">
                  <c:v>1.0196097730083062</c:v>
                </c:pt>
                <c:pt idx="16">
                  <c:v>0.36240729505991121</c:v>
                </c:pt>
                <c:pt idx="17">
                  <c:v>0.22063427408482714</c:v>
                </c:pt>
                <c:pt idx="18">
                  <c:v>0.13567750021896849</c:v>
                </c:pt>
                <c:pt idx="19">
                  <c:v>0.25575289228646775</c:v>
                </c:pt>
                <c:pt idx="20">
                  <c:v>0.78268548856611486</c:v>
                </c:pt>
                <c:pt idx="21">
                  <c:v>0.68961939600779054</c:v>
                </c:pt>
                <c:pt idx="22">
                  <c:v>1.2479991939422861</c:v>
                </c:pt>
                <c:pt idx="23">
                  <c:v>6.7703381649746944E-2</c:v>
                </c:pt>
                <c:pt idx="24">
                  <c:v>1.1998712501476956</c:v>
                </c:pt>
                <c:pt idx="25">
                  <c:v>3.8893687744147674E-3</c:v>
                </c:pt>
                <c:pt idx="26">
                  <c:v>1.6281744485035767</c:v>
                </c:pt>
                <c:pt idx="27">
                  <c:v>0.5034945867437054</c:v>
                </c:pt>
                <c:pt idx="28">
                  <c:v>0.24408145784313259</c:v>
                </c:pt>
                <c:pt idx="29">
                  <c:v>0.21371251593518359</c:v>
                </c:pt>
                <c:pt idx="30">
                  <c:v>0.44654120452886847</c:v>
                </c:pt>
                <c:pt idx="31">
                  <c:v>1.1003467069437831</c:v>
                </c:pt>
                <c:pt idx="32">
                  <c:v>0.70324402201889935</c:v>
                </c:pt>
                <c:pt idx="33">
                  <c:v>0.23309681773738847</c:v>
                </c:pt>
                <c:pt idx="34">
                  <c:v>0.27020485866943089</c:v>
                </c:pt>
                <c:pt idx="35">
                  <c:v>0.33429271661173982</c:v>
                </c:pt>
                <c:pt idx="36">
                  <c:v>0.27613331352454767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4-40E0-9682-332820EA5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220832"/>
        <c:axId val="1977004608"/>
      </c:barChart>
      <c:catAx>
        <c:axId val="19812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004608"/>
        <c:crosses val="autoZero"/>
        <c:auto val="1"/>
        <c:lblAlgn val="ctr"/>
        <c:lblOffset val="100"/>
        <c:noMultiLvlLbl val="0"/>
      </c:catAx>
      <c:valAx>
        <c:axId val="19770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12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exetime!$B$44:$AL$44</c:f>
              <c:strCache>
                <c:ptCount val="37"/>
                <c:pt idx="0">
                  <c:v>1t.bzip2</c:v>
                </c:pt>
                <c:pt idx="1">
                  <c:v>1t.gcc </c:v>
                </c:pt>
                <c:pt idx="2">
                  <c:v>1t.bwaves </c:v>
                </c:pt>
                <c:pt idx="3">
                  <c:v>1t.mcf </c:v>
                </c:pt>
                <c:pt idx="4">
                  <c:v>1t.milc </c:v>
                </c:pt>
                <c:pt idx="5">
                  <c:v>1t.zeusmp </c:v>
                </c:pt>
                <c:pt idx="6">
                  <c:v>1t.cactusADM </c:v>
                </c:pt>
                <c:pt idx="7">
                  <c:v>1t.leslie3d </c:v>
                </c:pt>
                <c:pt idx="8">
                  <c:v>1t.sjeng </c:v>
                </c:pt>
                <c:pt idx="9">
                  <c:v>1t.lbm </c:v>
                </c:pt>
                <c:pt idx="10">
                  <c:v>1t.wrf </c:v>
                </c:pt>
                <c:pt idx="11">
                  <c:v>2t.bzip2 </c:v>
                </c:pt>
                <c:pt idx="12">
                  <c:v>2t.gcc </c:v>
                </c:pt>
                <c:pt idx="13">
                  <c:v>2t.bwaves </c:v>
                </c:pt>
                <c:pt idx="14">
                  <c:v>2t.mcf </c:v>
                </c:pt>
                <c:pt idx="15">
                  <c:v>2t.milc </c:v>
                </c:pt>
                <c:pt idx="16">
                  <c:v>2t.zeusmp </c:v>
                </c:pt>
                <c:pt idx="17">
                  <c:v>2t.cactusADM </c:v>
                </c:pt>
                <c:pt idx="18">
                  <c:v>2t.leslie3d </c:v>
                </c:pt>
                <c:pt idx="19">
                  <c:v>2t.sjeng </c:v>
                </c:pt>
                <c:pt idx="20">
                  <c:v>2t.lbm </c:v>
                </c:pt>
                <c:pt idx="21">
                  <c:v>2t.wrf </c:v>
                </c:pt>
                <c:pt idx="22">
                  <c:v>4t.bzip2 </c:v>
                </c:pt>
                <c:pt idx="23">
                  <c:v>4t.gcc </c:v>
                </c:pt>
                <c:pt idx="24">
                  <c:v>4t.bwaves </c:v>
                </c:pt>
                <c:pt idx="25">
                  <c:v>4t.mcf </c:v>
                </c:pt>
                <c:pt idx="26">
                  <c:v>4t.milc </c:v>
                </c:pt>
                <c:pt idx="27">
                  <c:v>4t.zeusmp </c:v>
                </c:pt>
                <c:pt idx="28">
                  <c:v>4t.cactusADM </c:v>
                </c:pt>
                <c:pt idx="29">
                  <c:v>4t.leslie3d </c:v>
                </c:pt>
                <c:pt idx="30">
                  <c:v>4t.sjeng </c:v>
                </c:pt>
                <c:pt idx="31">
                  <c:v>4t.lbm </c:v>
                </c:pt>
                <c:pt idx="32">
                  <c:v>4t.wrf </c:v>
                </c:pt>
                <c:pt idx="33">
                  <c:v>1t.gmean</c:v>
                </c:pt>
                <c:pt idx="34">
                  <c:v>2t.gemean</c:v>
                </c:pt>
                <c:pt idx="35">
                  <c:v>4t.gmean</c:v>
                </c:pt>
                <c:pt idx="36">
                  <c:v>gmean</c:v>
                </c:pt>
              </c:strCache>
            </c:strRef>
          </c:cat>
          <c:val>
            <c:numRef>
              <c:f>exetime!$B$45:$AL$45</c:f>
              <c:numCache>
                <c:formatCode>General</c:formatCode>
                <c:ptCount val="37"/>
                <c:pt idx="0">
                  <c:v>1.0457367917985334</c:v>
                </c:pt>
                <c:pt idx="1">
                  <c:v>14.619869841408638</c:v>
                </c:pt>
                <c:pt idx="2">
                  <c:v>1.0907688954573287</c:v>
                </c:pt>
                <c:pt idx="3">
                  <c:v>117.86534017302448</c:v>
                </c:pt>
                <c:pt idx="4">
                  <c:v>2.1366165573250249</c:v>
                </c:pt>
                <c:pt idx="5">
                  <c:v>3.7282193323155606</c:v>
                </c:pt>
                <c:pt idx="6">
                  <c:v>4.0711390420033799</c:v>
                </c:pt>
                <c:pt idx="7">
                  <c:v>6.8151511284411805</c:v>
                </c:pt>
                <c:pt idx="8">
                  <c:v>8.8268074303348225</c:v>
                </c:pt>
                <c:pt idx="9">
                  <c:v>1.8183820515644873</c:v>
                </c:pt>
                <c:pt idx="10">
                  <c:v>1.2992933015140156</c:v>
                </c:pt>
                <c:pt idx="11">
                  <c:v>0.92328895883288165</c:v>
                </c:pt>
                <c:pt idx="12">
                  <c:v>17.089370320370765</c:v>
                </c:pt>
                <c:pt idx="13">
                  <c:v>0.90493406145581801</c:v>
                </c:pt>
                <c:pt idx="14">
                  <c:v>190.7759845816833</c:v>
                </c:pt>
                <c:pt idx="15">
                  <c:v>0.98076737441379302</c:v>
                </c:pt>
                <c:pt idx="16">
                  <c:v>2.7593263536118537</c:v>
                </c:pt>
                <c:pt idx="17">
                  <c:v>4.5323873824586771</c:v>
                </c:pt>
                <c:pt idx="18">
                  <c:v>7.370418812154635</c:v>
                </c:pt>
                <c:pt idx="19">
                  <c:v>3.9100242075851255</c:v>
                </c:pt>
                <c:pt idx="20">
                  <c:v>1.277652409056423</c:v>
                </c:pt>
                <c:pt idx="21">
                  <c:v>1.450075223795914</c:v>
                </c:pt>
                <c:pt idx="22">
                  <c:v>0.80128256881409909</c:v>
                </c:pt>
                <c:pt idx="23">
                  <c:v>14.770310959847569</c:v>
                </c:pt>
                <c:pt idx="24">
                  <c:v>0.83342275254691467</c:v>
                </c:pt>
                <c:pt idx="25">
                  <c:v>257.11112985177647</c:v>
                </c:pt>
                <c:pt idx="26">
                  <c:v>0.61418480121652841</c:v>
                </c:pt>
                <c:pt idx="27">
                  <c:v>1.9861186720345645</c:v>
                </c:pt>
                <c:pt idx="28">
                  <c:v>4.0969929007990631</c:v>
                </c:pt>
                <c:pt idx="29">
                  <c:v>4.6791831335853438</c:v>
                </c:pt>
                <c:pt idx="30">
                  <c:v>2.239434994705737</c:v>
                </c:pt>
                <c:pt idx="31">
                  <c:v>0.90880446471049436</c:v>
                </c:pt>
                <c:pt idx="32">
                  <c:v>1.4219815152202253</c:v>
                </c:pt>
                <c:pt idx="33">
                  <c:v>4.2900628576003124</c:v>
                </c:pt>
                <c:pt idx="34">
                  <c:v>3.7008957015958095</c:v>
                </c:pt>
                <c:pt idx="35">
                  <c:v>2.9913903304134437</c:v>
                </c:pt>
                <c:pt idx="36">
                  <c:v>3.6214391781855837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0-416E-8202-D6EE3978C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449375"/>
        <c:axId val="762765567"/>
      </c:barChart>
      <c:catAx>
        <c:axId val="76744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765567"/>
        <c:crosses val="autoZero"/>
        <c:auto val="1"/>
        <c:lblAlgn val="ctr"/>
        <c:lblOffset val="100"/>
        <c:noMultiLvlLbl val="0"/>
      </c:catAx>
      <c:valAx>
        <c:axId val="76276556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744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exetime!$B$46:$AL$46</c:f>
              <c:numCache>
                <c:formatCode>General</c:formatCode>
                <c:ptCount val="37"/>
                <c:pt idx="0">
                  <c:v>6.4519776105692497E-2</c:v>
                </c:pt>
                <c:pt idx="1">
                  <c:v>3.8698585621291377</c:v>
                </c:pt>
                <c:pt idx="2">
                  <c:v>0.1253454658266891</c:v>
                </c:pt>
                <c:pt idx="3">
                  <c:v>6.880995727330129</c:v>
                </c:pt>
                <c:pt idx="4">
                  <c:v>1.0953280214833556</c:v>
                </c:pt>
                <c:pt idx="5">
                  <c:v>1.8984867366917522</c:v>
                </c:pt>
                <c:pt idx="6">
                  <c:v>2.0254324948218776</c:v>
                </c:pt>
                <c:pt idx="7">
                  <c:v>2.7687456496695368</c:v>
                </c:pt>
                <c:pt idx="8">
                  <c:v>3.14189172357267</c:v>
                </c:pt>
                <c:pt idx="9">
                  <c:v>0.86265534914152853</c:v>
                </c:pt>
                <c:pt idx="10">
                  <c:v>0.37772714046707312</c:v>
                </c:pt>
                <c:pt idx="11">
                  <c:v>-0.11514586063095447</c:v>
                </c:pt>
                <c:pt idx="12">
                  <c:v>4.0950273349432829</c:v>
                </c:pt>
                <c:pt idx="13">
                  <c:v>-0.14411542167100344</c:v>
                </c:pt>
                <c:pt idx="14">
                  <c:v>7.5757357620324841</c:v>
                </c:pt>
                <c:pt idx="15">
                  <c:v>-2.8017106839803883E-2</c:v>
                </c:pt>
                <c:pt idx="16">
                  <c:v>1.4643160985516981</c:v>
                </c:pt>
                <c:pt idx="17">
                  <c:v>2.1802711733534665</c:v>
                </c:pt>
                <c:pt idx="18">
                  <c:v>2.8817466004670709</c:v>
                </c:pt>
                <c:pt idx="19">
                  <c:v>1.9671775395159783</c:v>
                </c:pt>
                <c:pt idx="20">
                  <c:v>0.35349539814905484</c:v>
                </c:pt>
                <c:pt idx="21">
                  <c:v>0.53612774312459832</c:v>
                </c:pt>
                <c:pt idx="22">
                  <c:v>-0.3196170023925955</c:v>
                </c:pt>
                <c:pt idx="23">
                  <c:v>3.8846282944164399</c:v>
                </c:pt>
                <c:pt idx="24">
                  <c:v>-0.26287960855156328</c:v>
                </c:pt>
                <c:pt idx="25">
                  <c:v>8.0062482528222976</c:v>
                </c:pt>
                <c:pt idx="26">
                  <c:v>-0.70325528345414823</c:v>
                </c:pt>
                <c:pt idx="27">
                  <c:v>0.98995182751924182</c:v>
                </c:pt>
                <c:pt idx="28">
                  <c:v>2.0345653929424854</c:v>
                </c:pt>
                <c:pt idx="29">
                  <c:v>2.2262566939141015</c:v>
                </c:pt>
                <c:pt idx="30">
                  <c:v>1.1631347889099337</c:v>
                </c:pt>
                <c:pt idx="31">
                  <c:v>-0.13795817245688527</c:v>
                </c:pt>
                <c:pt idx="32">
                  <c:v>0.50790271103788787</c:v>
                </c:pt>
                <c:pt idx="33">
                  <c:v>2.1009987861126764</c:v>
                </c:pt>
                <c:pt idx="34">
                  <c:v>1.887874478272352</c:v>
                </c:pt>
                <c:pt idx="35">
                  <c:v>1.5808161722461089</c:v>
                </c:pt>
                <c:pt idx="36">
                  <c:v>1.8565631455437124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8-44F1-BF72-EEFD5C437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304063"/>
        <c:axId val="771325695"/>
      </c:barChart>
      <c:catAx>
        <c:axId val="64430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1325695"/>
        <c:crosses val="autoZero"/>
        <c:auto val="1"/>
        <c:lblAlgn val="ctr"/>
        <c:lblOffset val="100"/>
        <c:noMultiLvlLbl val="0"/>
      </c:catAx>
      <c:valAx>
        <c:axId val="771325695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30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归一化于</a:t>
            </a:r>
            <a:r>
              <a:rPr lang="en-US" altLang="zh-CN"/>
              <a:t>Ring ORAM</a:t>
            </a:r>
            <a:r>
              <a:rPr lang="zh-CN" altLang="en-US"/>
              <a:t>后的性能提升倍数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0E-4D22-856E-267396A2F960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0E-4D22-856E-267396A2F960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0E-4D22-856E-267396A2F960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5-4DB9-9C91-CFAB4AEDAEBA}"/>
                </c:ext>
              </c:extLst>
            </c:dLbl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exetime!$B$69:$AI$70</c:f>
              <c:multiLvlStrCache>
                <c:ptCount val="34"/>
                <c:lvl>
                  <c:pt idx="0">
                    <c:v>bzip2</c:v>
                  </c:pt>
                  <c:pt idx="1">
                    <c:v>gcc </c:v>
                  </c:pt>
                  <c:pt idx="2">
                    <c:v>bwaves </c:v>
                  </c:pt>
                  <c:pt idx="3">
                    <c:v>mcf </c:v>
                  </c:pt>
                  <c:pt idx="4">
                    <c:v>zeusmp </c:v>
                  </c:pt>
                  <c:pt idx="5">
                    <c:v>cactusADM </c:v>
                  </c:pt>
                  <c:pt idx="6">
                    <c:v>leslie3d </c:v>
                  </c:pt>
                  <c:pt idx="7">
                    <c:v>sjeng </c:v>
                  </c:pt>
                  <c:pt idx="8">
                    <c:v>lbm </c:v>
                  </c:pt>
                  <c:pt idx="9">
                    <c:v>wrf </c:v>
                  </c:pt>
                  <c:pt idx="10">
                    <c:v>bzip2</c:v>
                  </c:pt>
                  <c:pt idx="11">
                    <c:v>gcc </c:v>
                  </c:pt>
                  <c:pt idx="12">
                    <c:v>bwaves </c:v>
                  </c:pt>
                  <c:pt idx="13">
                    <c:v>mcf </c:v>
                  </c:pt>
                  <c:pt idx="14">
                    <c:v>zeusmp </c:v>
                  </c:pt>
                  <c:pt idx="15">
                    <c:v>cactusADM </c:v>
                  </c:pt>
                  <c:pt idx="16">
                    <c:v>leslie3d </c:v>
                  </c:pt>
                  <c:pt idx="17">
                    <c:v>sjeng </c:v>
                  </c:pt>
                  <c:pt idx="18">
                    <c:v>lbm </c:v>
                  </c:pt>
                  <c:pt idx="19">
                    <c:v>wrf </c:v>
                  </c:pt>
                  <c:pt idx="20">
                    <c:v>bzip2</c:v>
                  </c:pt>
                  <c:pt idx="21">
                    <c:v>gcc </c:v>
                  </c:pt>
                  <c:pt idx="22">
                    <c:v>bwaves </c:v>
                  </c:pt>
                  <c:pt idx="23">
                    <c:v>mcf </c:v>
                  </c:pt>
                  <c:pt idx="24">
                    <c:v>zeusmp </c:v>
                  </c:pt>
                  <c:pt idx="25">
                    <c:v>cactusADM </c:v>
                  </c:pt>
                  <c:pt idx="26">
                    <c:v>leslie3d </c:v>
                  </c:pt>
                  <c:pt idx="27">
                    <c:v>sjeng </c:v>
                  </c:pt>
                  <c:pt idx="28">
                    <c:v>lbm </c:v>
                  </c:pt>
                  <c:pt idx="29">
                    <c:v>wrf </c:v>
                  </c:pt>
                  <c:pt idx="30">
                    <c:v>gmean</c:v>
                  </c:pt>
                  <c:pt idx="31">
                    <c:v>gmean</c:v>
                  </c:pt>
                  <c:pt idx="32">
                    <c:v>gmean</c:v>
                  </c:pt>
                  <c:pt idx="33">
                    <c:v>gmean</c:v>
                  </c:pt>
                </c:lvl>
                <c:lvl>
                  <c:pt idx="0">
                    <c:v>1-thread</c:v>
                  </c:pt>
                  <c:pt idx="10">
                    <c:v>2-thread</c:v>
                  </c:pt>
                  <c:pt idx="20">
                    <c:v>4-thread</c:v>
                  </c:pt>
                  <c:pt idx="30">
                    <c:v>1t</c:v>
                  </c:pt>
                  <c:pt idx="31">
                    <c:v>2t</c:v>
                  </c:pt>
                  <c:pt idx="32">
                    <c:v>4t</c:v>
                  </c:pt>
                  <c:pt idx="33">
                    <c:v>All</c:v>
                  </c:pt>
                </c:lvl>
              </c:multiLvlStrCache>
            </c:multiLvlStrRef>
          </c:cat>
          <c:val>
            <c:numRef>
              <c:f>exetime!$B$71:$AI$71</c:f>
              <c:numCache>
                <c:formatCode>General</c:formatCode>
                <c:ptCount val="34"/>
                <c:pt idx="0">
                  <c:v>1.0457367917985334</c:v>
                </c:pt>
                <c:pt idx="1">
                  <c:v>14.619869841408638</c:v>
                </c:pt>
                <c:pt idx="2">
                  <c:v>1.0907688954573287</c:v>
                </c:pt>
                <c:pt idx="3">
                  <c:v>117.86534017302448</c:v>
                </c:pt>
                <c:pt idx="4">
                  <c:v>3.7282193323155606</c:v>
                </c:pt>
                <c:pt idx="5">
                  <c:v>4.0711390420033799</c:v>
                </c:pt>
                <c:pt idx="6">
                  <c:v>6.8151511284411805</c:v>
                </c:pt>
                <c:pt idx="7">
                  <c:v>8.8268074303348225</c:v>
                </c:pt>
                <c:pt idx="8">
                  <c:v>1.8183820515644873</c:v>
                </c:pt>
                <c:pt idx="9">
                  <c:v>1.2992933015140156</c:v>
                </c:pt>
                <c:pt idx="10">
                  <c:v>0.92328895883288165</c:v>
                </c:pt>
                <c:pt idx="11">
                  <c:v>17.089370320370765</c:v>
                </c:pt>
                <c:pt idx="12">
                  <c:v>0.90493406145581801</c:v>
                </c:pt>
                <c:pt idx="13">
                  <c:v>190.7759845816833</c:v>
                </c:pt>
                <c:pt idx="14">
                  <c:v>2.7593263536118537</c:v>
                </c:pt>
                <c:pt idx="15">
                  <c:v>4.5323873824586771</c:v>
                </c:pt>
                <c:pt idx="16">
                  <c:v>7.370418812154635</c:v>
                </c:pt>
                <c:pt idx="17">
                  <c:v>3.9100242075851255</c:v>
                </c:pt>
                <c:pt idx="18">
                  <c:v>1.277652409056423</c:v>
                </c:pt>
                <c:pt idx="19">
                  <c:v>1.450075223795914</c:v>
                </c:pt>
                <c:pt idx="20">
                  <c:v>0.80128256881409909</c:v>
                </c:pt>
                <c:pt idx="21">
                  <c:v>14.770310959847569</c:v>
                </c:pt>
                <c:pt idx="22">
                  <c:v>0.83342275254691467</c:v>
                </c:pt>
                <c:pt idx="23">
                  <c:v>257.11112985177647</c:v>
                </c:pt>
                <c:pt idx="24">
                  <c:v>1.9861186720345645</c:v>
                </c:pt>
                <c:pt idx="25">
                  <c:v>4.0969929007990631</c:v>
                </c:pt>
                <c:pt idx="26">
                  <c:v>4.6791831335853438</c:v>
                </c:pt>
                <c:pt idx="27">
                  <c:v>2.239434994705737</c:v>
                </c:pt>
                <c:pt idx="28">
                  <c:v>0.90880446471049436</c:v>
                </c:pt>
                <c:pt idx="29">
                  <c:v>1.4219815152202253</c:v>
                </c:pt>
                <c:pt idx="30">
                  <c:v>4.5997831931542077</c:v>
                </c:pt>
                <c:pt idx="31">
                  <c:v>4.2265005474442718</c:v>
                </c:pt>
                <c:pt idx="32">
                  <c:v>3.5045356927759368</c:v>
                </c:pt>
                <c:pt idx="33">
                  <c:v>4.0842870720190616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5-4DB9-9C91-CFAB4AEDA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325919"/>
        <c:axId val="764735391"/>
      </c:barChart>
      <c:catAx>
        <c:axId val="9833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4735391"/>
        <c:crosses val="autoZero"/>
        <c:auto val="1"/>
        <c:lblAlgn val="ctr"/>
        <c:lblOffset val="100"/>
        <c:noMultiLvlLbl val="0"/>
      </c:catAx>
      <c:valAx>
        <c:axId val="764735391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Normalized IPC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332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归一化于 仅有加密保护的系统 的性能提升倍数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Ring ORAM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nscure!$P$1:$Q$34</c:f>
              <c:multiLvlStrCache>
                <c:ptCount val="34"/>
                <c:lvl>
                  <c:pt idx="0">
                    <c:v>bzip2</c:v>
                  </c:pt>
                  <c:pt idx="1">
                    <c:v>gcc </c:v>
                  </c:pt>
                  <c:pt idx="2">
                    <c:v>bwaves </c:v>
                  </c:pt>
                  <c:pt idx="3">
                    <c:v>mcf </c:v>
                  </c:pt>
                  <c:pt idx="4">
                    <c:v>zeusmp</c:v>
                  </c:pt>
                  <c:pt idx="5">
                    <c:v>cactusADM </c:v>
                  </c:pt>
                  <c:pt idx="6">
                    <c:v>leslie3d </c:v>
                  </c:pt>
                  <c:pt idx="7">
                    <c:v>sjeng </c:v>
                  </c:pt>
                  <c:pt idx="8">
                    <c:v>lbm </c:v>
                  </c:pt>
                  <c:pt idx="9">
                    <c:v>wrf </c:v>
                  </c:pt>
                  <c:pt idx="10">
                    <c:v>bzip2</c:v>
                  </c:pt>
                  <c:pt idx="11">
                    <c:v>gcc </c:v>
                  </c:pt>
                  <c:pt idx="12">
                    <c:v>bwaves </c:v>
                  </c:pt>
                  <c:pt idx="13">
                    <c:v>mcf </c:v>
                  </c:pt>
                  <c:pt idx="14">
                    <c:v>zeusmp</c:v>
                  </c:pt>
                  <c:pt idx="15">
                    <c:v>cactusADM </c:v>
                  </c:pt>
                  <c:pt idx="16">
                    <c:v>leslie3d </c:v>
                  </c:pt>
                  <c:pt idx="17">
                    <c:v>sjeng </c:v>
                  </c:pt>
                  <c:pt idx="18">
                    <c:v>lbm </c:v>
                  </c:pt>
                  <c:pt idx="19">
                    <c:v>wrf </c:v>
                  </c:pt>
                  <c:pt idx="20">
                    <c:v>bzip2</c:v>
                  </c:pt>
                  <c:pt idx="21">
                    <c:v>gcc </c:v>
                  </c:pt>
                  <c:pt idx="22">
                    <c:v>bwaves </c:v>
                  </c:pt>
                  <c:pt idx="23">
                    <c:v>mcf </c:v>
                  </c:pt>
                  <c:pt idx="24">
                    <c:v>zeusmp</c:v>
                  </c:pt>
                  <c:pt idx="25">
                    <c:v>cactusADM </c:v>
                  </c:pt>
                  <c:pt idx="26">
                    <c:v>leslie3d </c:v>
                  </c:pt>
                  <c:pt idx="27">
                    <c:v>sjeng </c:v>
                  </c:pt>
                  <c:pt idx="28">
                    <c:v>lbm </c:v>
                  </c:pt>
                  <c:pt idx="29">
                    <c:v>wrf </c:v>
                  </c:pt>
                  <c:pt idx="30">
                    <c:v>gmean</c:v>
                  </c:pt>
                  <c:pt idx="31">
                    <c:v>gmean</c:v>
                  </c:pt>
                  <c:pt idx="32">
                    <c:v>gmean</c:v>
                  </c:pt>
                  <c:pt idx="33">
                    <c:v>gmean</c:v>
                  </c:pt>
                </c:lvl>
                <c:lvl>
                  <c:pt idx="0">
                    <c:v>1t</c:v>
                  </c:pt>
                  <c:pt idx="10">
                    <c:v>2t</c:v>
                  </c:pt>
                  <c:pt idx="20">
                    <c:v>4t</c:v>
                  </c:pt>
                  <c:pt idx="30">
                    <c:v>1t</c:v>
                  </c:pt>
                  <c:pt idx="31">
                    <c:v>2t</c:v>
                  </c:pt>
                  <c:pt idx="32">
                    <c:v>4t</c:v>
                  </c:pt>
                  <c:pt idx="33">
                    <c:v>ALL</c:v>
                  </c:pt>
                </c:lvl>
              </c:multiLvlStrCache>
            </c:multiLvlStrRef>
          </c:cat>
          <c:val>
            <c:numRef>
              <c:f>nscure!$S$1:$S$34</c:f>
              <c:numCache>
                <c:formatCode>General</c:formatCode>
                <c:ptCount val="34"/>
                <c:pt idx="0">
                  <c:v>1.6478206967755387</c:v>
                </c:pt>
                <c:pt idx="1">
                  <c:v>0.55517271385583289</c:v>
                </c:pt>
                <c:pt idx="2">
                  <c:v>3.6940112823876765</c:v>
                </c:pt>
                <c:pt idx="3">
                  <c:v>0.18798608546042556</c:v>
                </c:pt>
                <c:pt idx="4">
                  <c:v>3.2941814301831438</c:v>
                </c:pt>
                <c:pt idx="5">
                  <c:v>0.94524662426415196</c:v>
                </c:pt>
                <c:pt idx="6">
                  <c:v>2.2350788278580982</c:v>
                </c:pt>
                <c:pt idx="7">
                  <c:v>1.571252737794365</c:v>
                </c:pt>
                <c:pt idx="8">
                  <c:v>4.0245178764056169</c:v>
                </c:pt>
                <c:pt idx="9">
                  <c:v>3.5246974423695177</c:v>
                </c:pt>
                <c:pt idx="10">
                  <c:v>1.1184562212588571</c:v>
                </c:pt>
                <c:pt idx="11">
                  <c:v>0.37674579334099334</c:v>
                </c:pt>
                <c:pt idx="12">
                  <c:v>4.3094873889539143</c:v>
                </c:pt>
                <c:pt idx="13">
                  <c:v>8.9426307544417216E-2</c:v>
                </c:pt>
                <c:pt idx="14">
                  <c:v>2.185176740588576</c:v>
                </c:pt>
                <c:pt idx="15">
                  <c:v>0.88254340441587231</c:v>
                </c:pt>
                <c:pt idx="16">
                  <c:v>1.9195268120397699</c:v>
                </c:pt>
                <c:pt idx="17">
                  <c:v>1.5394408654648426</c:v>
                </c:pt>
                <c:pt idx="18">
                  <c:v>2.7169462149167991</c:v>
                </c:pt>
                <c:pt idx="19">
                  <c:v>4.0904116792353378</c:v>
                </c:pt>
                <c:pt idx="20">
                  <c:v>1.2262967496425057</c:v>
                </c:pt>
                <c:pt idx="21">
                  <c:v>0.33932432561389353</c:v>
                </c:pt>
                <c:pt idx="22">
                  <c:v>3.6189125456199855</c:v>
                </c:pt>
                <c:pt idx="23">
                  <c:v>6.725175445738811E-2</c:v>
                </c:pt>
                <c:pt idx="24">
                  <c:v>2.9119592537744361</c:v>
                </c:pt>
                <c:pt idx="25">
                  <c:v>0.79518944536979419</c:v>
                </c:pt>
                <c:pt idx="26">
                  <c:v>1.6948375769970143</c:v>
                </c:pt>
                <c:pt idx="27">
                  <c:v>1.0568578088382738</c:v>
                </c:pt>
                <c:pt idx="28">
                  <c:v>3.9154475574486125</c:v>
                </c:pt>
                <c:pt idx="29">
                  <c:v>3.0815792110501041</c:v>
                </c:pt>
                <c:pt idx="30">
                  <c:v>1.5825699805132065</c:v>
                </c:pt>
                <c:pt idx="31">
                  <c:v>1.2624628907500139</c:v>
                </c:pt>
                <c:pt idx="32">
                  <c:v>1.1762097013701025</c:v>
                </c:pt>
                <c:pt idx="33">
                  <c:v>1.3295013028177367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0-4F28-9580-38F2BDD1013D}"/>
            </c:ext>
          </c:extLst>
        </c:ser>
        <c:ser>
          <c:idx val="2"/>
          <c:order val="1"/>
          <c:tx>
            <c:v>Proposal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nscure!$P$1:$Q$34</c:f>
              <c:multiLvlStrCache>
                <c:ptCount val="34"/>
                <c:lvl>
                  <c:pt idx="0">
                    <c:v>bzip2</c:v>
                  </c:pt>
                  <c:pt idx="1">
                    <c:v>gcc </c:v>
                  </c:pt>
                  <c:pt idx="2">
                    <c:v>bwaves </c:v>
                  </c:pt>
                  <c:pt idx="3">
                    <c:v>mcf </c:v>
                  </c:pt>
                  <c:pt idx="4">
                    <c:v>zeusmp</c:v>
                  </c:pt>
                  <c:pt idx="5">
                    <c:v>cactusADM </c:v>
                  </c:pt>
                  <c:pt idx="6">
                    <c:v>leslie3d </c:v>
                  </c:pt>
                  <c:pt idx="7">
                    <c:v>sjeng </c:v>
                  </c:pt>
                  <c:pt idx="8">
                    <c:v>lbm </c:v>
                  </c:pt>
                  <c:pt idx="9">
                    <c:v>wrf </c:v>
                  </c:pt>
                  <c:pt idx="10">
                    <c:v>bzip2</c:v>
                  </c:pt>
                  <c:pt idx="11">
                    <c:v>gcc </c:v>
                  </c:pt>
                  <c:pt idx="12">
                    <c:v>bwaves </c:v>
                  </c:pt>
                  <c:pt idx="13">
                    <c:v>mcf </c:v>
                  </c:pt>
                  <c:pt idx="14">
                    <c:v>zeusmp</c:v>
                  </c:pt>
                  <c:pt idx="15">
                    <c:v>cactusADM </c:v>
                  </c:pt>
                  <c:pt idx="16">
                    <c:v>leslie3d </c:v>
                  </c:pt>
                  <c:pt idx="17">
                    <c:v>sjeng </c:v>
                  </c:pt>
                  <c:pt idx="18">
                    <c:v>lbm </c:v>
                  </c:pt>
                  <c:pt idx="19">
                    <c:v>wrf </c:v>
                  </c:pt>
                  <c:pt idx="20">
                    <c:v>bzip2</c:v>
                  </c:pt>
                  <c:pt idx="21">
                    <c:v>gcc </c:v>
                  </c:pt>
                  <c:pt idx="22">
                    <c:v>bwaves </c:v>
                  </c:pt>
                  <c:pt idx="23">
                    <c:v>mcf </c:v>
                  </c:pt>
                  <c:pt idx="24">
                    <c:v>zeusmp</c:v>
                  </c:pt>
                  <c:pt idx="25">
                    <c:v>cactusADM </c:v>
                  </c:pt>
                  <c:pt idx="26">
                    <c:v>leslie3d </c:v>
                  </c:pt>
                  <c:pt idx="27">
                    <c:v>sjeng </c:v>
                  </c:pt>
                  <c:pt idx="28">
                    <c:v>lbm </c:v>
                  </c:pt>
                  <c:pt idx="29">
                    <c:v>wrf </c:v>
                  </c:pt>
                  <c:pt idx="30">
                    <c:v>gmean</c:v>
                  </c:pt>
                  <c:pt idx="31">
                    <c:v>gmean</c:v>
                  </c:pt>
                  <c:pt idx="32">
                    <c:v>gmean</c:v>
                  </c:pt>
                  <c:pt idx="33">
                    <c:v>gmean</c:v>
                  </c:pt>
                </c:lvl>
                <c:lvl>
                  <c:pt idx="0">
                    <c:v>1t</c:v>
                  </c:pt>
                  <c:pt idx="10">
                    <c:v>2t</c:v>
                  </c:pt>
                  <c:pt idx="20">
                    <c:v>4t</c:v>
                  </c:pt>
                  <c:pt idx="30">
                    <c:v>1t</c:v>
                  </c:pt>
                  <c:pt idx="31">
                    <c:v>2t</c:v>
                  </c:pt>
                  <c:pt idx="32">
                    <c:v>4t</c:v>
                  </c:pt>
                  <c:pt idx="33">
                    <c:v>ALL</c:v>
                  </c:pt>
                </c:lvl>
              </c:multiLvlStrCache>
            </c:multiLvlStrRef>
          </c:cat>
          <c:val>
            <c:numRef>
              <c:f>nscure!$T$1:$T$34</c:f>
              <c:numCache>
                <c:formatCode>General</c:formatCode>
                <c:ptCount val="34"/>
                <c:pt idx="0">
                  <c:v>1.7231867289052758</c:v>
                </c:pt>
                <c:pt idx="1">
                  <c:v>8.1165528160738791</c:v>
                </c:pt>
                <c:pt idx="2">
                  <c:v>4.0293126062969167</c:v>
                </c:pt>
                <c:pt idx="3">
                  <c:v>22.157043910588314</c:v>
                </c:pt>
                <c:pt idx="4">
                  <c:v>12.281430892163723</c:v>
                </c:pt>
                <c:pt idx="5">
                  <c:v>3.8482304363636892</c:v>
                </c:pt>
                <c:pt idx="6">
                  <c:v>15.232399995832107</c:v>
                </c:pt>
                <c:pt idx="7">
                  <c:v>13.869145340897232</c:v>
                </c:pt>
                <c:pt idx="8">
                  <c:v>7.3181110726563983</c:v>
                </c:pt>
                <c:pt idx="9">
                  <c:v>4.5796157767342969</c:v>
                </c:pt>
                <c:pt idx="10">
                  <c:v>1.0326582800262492</c:v>
                </c:pt>
                <c:pt idx="11">
                  <c:v>6.4383483790461096</c:v>
                </c:pt>
                <c:pt idx="12">
                  <c:v>3.8998019256786938</c:v>
                </c:pt>
                <c:pt idx="13">
                  <c:v>17.060391869290608</c:v>
                </c:pt>
                <c:pt idx="14">
                  <c:v>6.0296157676057112</c:v>
                </c:pt>
                <c:pt idx="15">
                  <c:v>4.0000285906466253</c:v>
                </c:pt>
                <c:pt idx="16">
                  <c:v>14.147716525893134</c:v>
                </c:pt>
                <c:pt idx="17">
                  <c:v>6.0192510501133309</c:v>
                </c:pt>
                <c:pt idx="18">
                  <c:v>3.471312876765178</c:v>
                </c:pt>
                <c:pt idx="19">
                  <c:v>5.9314046311846029</c:v>
                </c:pt>
                <c:pt idx="20">
                  <c:v>0.98261020968192714</c:v>
                </c:pt>
                <c:pt idx="21">
                  <c:v>5.0119258055577758</c:v>
                </c:pt>
                <c:pt idx="22">
                  <c:v>3.0160840549971701</c:v>
                </c:pt>
                <c:pt idx="23">
                  <c:v>17.291174573053301</c:v>
                </c:pt>
                <c:pt idx="24">
                  <c:v>5.7834966461252444</c:v>
                </c:pt>
                <c:pt idx="25">
                  <c:v>3.2578855124703909</c:v>
                </c:pt>
                <c:pt idx="26">
                  <c:v>7.9304554044510818</c:v>
                </c:pt>
                <c:pt idx="27">
                  <c:v>2.366764361540457</c:v>
                </c:pt>
                <c:pt idx="28">
                  <c:v>3.5583762215490986</c:v>
                </c:pt>
                <c:pt idx="29">
                  <c:v>4.3819486758001736</c:v>
                </c:pt>
                <c:pt idx="30">
                  <c:v>7.2794787983550302</c:v>
                </c:pt>
                <c:pt idx="31">
                  <c:v>5.3358000988830128</c:v>
                </c:pt>
                <c:pt idx="32">
                  <c:v>4.1220688806408505</c:v>
                </c:pt>
                <c:pt idx="33">
                  <c:v>5.4300649833309826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10-4F28-9580-38F2BDD1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347647"/>
        <c:axId val="729774847"/>
      </c:barChart>
      <c:catAx>
        <c:axId val="81634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774847"/>
        <c:crosses val="autoZero"/>
        <c:auto val="1"/>
        <c:lblAlgn val="ctr"/>
        <c:lblOffset val="100"/>
        <c:noMultiLvlLbl val="0"/>
      </c:catAx>
      <c:valAx>
        <c:axId val="729774847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34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Stash</a:t>
            </a:r>
            <a:r>
              <a:rPr lang="zh-CN" altLang="en-US"/>
              <a:t>容纳数据量 </a:t>
            </a:r>
            <a:r>
              <a:rPr lang="en-US" altLang="zh-CN"/>
              <a:t>&amp; </a:t>
            </a:r>
            <a:r>
              <a:rPr lang="zh-CN" altLang="en-US"/>
              <a:t>内存占用量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Stash容纳数据量(个)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stash_size!$A$1:$A$33</c:f>
              <c:strCache>
                <c:ptCount val="33"/>
                <c:pt idx="0">
                  <c:v>1t.bzip2</c:v>
                </c:pt>
                <c:pt idx="1">
                  <c:v>1t.gcc </c:v>
                </c:pt>
                <c:pt idx="2">
                  <c:v>1t.bwaves </c:v>
                </c:pt>
                <c:pt idx="3">
                  <c:v>1t.mcf </c:v>
                </c:pt>
                <c:pt idx="4">
                  <c:v>1t.milc </c:v>
                </c:pt>
                <c:pt idx="5">
                  <c:v>1t.zeusmp </c:v>
                </c:pt>
                <c:pt idx="6">
                  <c:v>1t.cactusADM </c:v>
                </c:pt>
                <c:pt idx="7">
                  <c:v>1t.leslie3d </c:v>
                </c:pt>
                <c:pt idx="8">
                  <c:v>1t.sjeng </c:v>
                </c:pt>
                <c:pt idx="9">
                  <c:v>1t.lbm </c:v>
                </c:pt>
                <c:pt idx="10">
                  <c:v>1t.wrf </c:v>
                </c:pt>
                <c:pt idx="11">
                  <c:v>2t.bzip2 </c:v>
                </c:pt>
                <c:pt idx="12">
                  <c:v>2t.gcc </c:v>
                </c:pt>
                <c:pt idx="13">
                  <c:v>2t.bwaves </c:v>
                </c:pt>
                <c:pt idx="14">
                  <c:v>2t.mcf </c:v>
                </c:pt>
                <c:pt idx="15">
                  <c:v>2t.milc </c:v>
                </c:pt>
                <c:pt idx="16">
                  <c:v>2t.zeusmp </c:v>
                </c:pt>
                <c:pt idx="17">
                  <c:v>2t.cactusADM </c:v>
                </c:pt>
                <c:pt idx="18">
                  <c:v>2t.leslie3d </c:v>
                </c:pt>
                <c:pt idx="19">
                  <c:v>2t.sjeng </c:v>
                </c:pt>
                <c:pt idx="20">
                  <c:v>2t.lbm </c:v>
                </c:pt>
                <c:pt idx="21">
                  <c:v>2t.wrf </c:v>
                </c:pt>
                <c:pt idx="22">
                  <c:v>4t.bzip2 </c:v>
                </c:pt>
                <c:pt idx="23">
                  <c:v>4t.gcc </c:v>
                </c:pt>
                <c:pt idx="24">
                  <c:v>4t.bwaves </c:v>
                </c:pt>
                <c:pt idx="25">
                  <c:v>4t.mcf </c:v>
                </c:pt>
                <c:pt idx="26">
                  <c:v>4t.milc </c:v>
                </c:pt>
                <c:pt idx="27">
                  <c:v>4t.zeusmp </c:v>
                </c:pt>
                <c:pt idx="28">
                  <c:v>4t.cactusADM </c:v>
                </c:pt>
                <c:pt idx="29">
                  <c:v>4t.leslie3d </c:v>
                </c:pt>
                <c:pt idx="30">
                  <c:v>4t.sjeng </c:v>
                </c:pt>
                <c:pt idx="31">
                  <c:v>4t.lbm </c:v>
                </c:pt>
                <c:pt idx="32">
                  <c:v>4t.wrf </c:v>
                </c:pt>
              </c:strCache>
            </c:strRef>
          </c:cat>
          <c:val>
            <c:numRef>
              <c:f>stash_size!$B$1:$B$33</c:f>
              <c:numCache>
                <c:formatCode>General</c:formatCode>
                <c:ptCount val="33"/>
                <c:pt idx="0">
                  <c:v>13771</c:v>
                </c:pt>
                <c:pt idx="1">
                  <c:v>616</c:v>
                </c:pt>
                <c:pt idx="2">
                  <c:v>9712</c:v>
                </c:pt>
                <c:pt idx="3">
                  <c:v>722</c:v>
                </c:pt>
                <c:pt idx="4">
                  <c:v>662</c:v>
                </c:pt>
                <c:pt idx="5">
                  <c:v>651</c:v>
                </c:pt>
                <c:pt idx="6">
                  <c:v>1924</c:v>
                </c:pt>
                <c:pt idx="7">
                  <c:v>681</c:v>
                </c:pt>
                <c:pt idx="8">
                  <c:v>671</c:v>
                </c:pt>
                <c:pt idx="9">
                  <c:v>729</c:v>
                </c:pt>
                <c:pt idx="10">
                  <c:v>605</c:v>
                </c:pt>
                <c:pt idx="11">
                  <c:v>33397</c:v>
                </c:pt>
                <c:pt idx="12">
                  <c:v>626</c:v>
                </c:pt>
                <c:pt idx="13">
                  <c:v>23903</c:v>
                </c:pt>
                <c:pt idx="14">
                  <c:v>664</c:v>
                </c:pt>
                <c:pt idx="15">
                  <c:v>628</c:v>
                </c:pt>
                <c:pt idx="16">
                  <c:v>687</c:v>
                </c:pt>
                <c:pt idx="17">
                  <c:v>7691</c:v>
                </c:pt>
                <c:pt idx="18">
                  <c:v>642</c:v>
                </c:pt>
                <c:pt idx="19">
                  <c:v>694</c:v>
                </c:pt>
                <c:pt idx="20">
                  <c:v>1880</c:v>
                </c:pt>
                <c:pt idx="21">
                  <c:v>1193</c:v>
                </c:pt>
                <c:pt idx="22">
                  <c:v>89164</c:v>
                </c:pt>
                <c:pt idx="23">
                  <c:v>635</c:v>
                </c:pt>
                <c:pt idx="24">
                  <c:v>89709</c:v>
                </c:pt>
                <c:pt idx="25">
                  <c:v>691</c:v>
                </c:pt>
                <c:pt idx="26">
                  <c:v>14379</c:v>
                </c:pt>
                <c:pt idx="27">
                  <c:v>1711</c:v>
                </c:pt>
                <c:pt idx="28">
                  <c:v>23023</c:v>
                </c:pt>
                <c:pt idx="29">
                  <c:v>691</c:v>
                </c:pt>
                <c:pt idx="30">
                  <c:v>721</c:v>
                </c:pt>
                <c:pt idx="31">
                  <c:v>22210</c:v>
                </c:pt>
                <c:pt idx="32">
                  <c:v>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9-4615-BE0D-6316B304F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5190976"/>
        <c:axId val="36541152"/>
      </c:barChart>
      <c:lineChart>
        <c:grouping val="standard"/>
        <c:varyColors val="0"/>
        <c:ser>
          <c:idx val="1"/>
          <c:order val="1"/>
          <c:tx>
            <c:v>内存使用量(MB)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stash_size!$A$1:$A$33</c:f>
              <c:strCache>
                <c:ptCount val="33"/>
                <c:pt idx="0">
                  <c:v>1t.bzip2</c:v>
                </c:pt>
                <c:pt idx="1">
                  <c:v>1t.gcc </c:v>
                </c:pt>
                <c:pt idx="2">
                  <c:v>1t.bwaves </c:v>
                </c:pt>
                <c:pt idx="3">
                  <c:v>1t.mcf </c:v>
                </c:pt>
                <c:pt idx="4">
                  <c:v>1t.milc </c:v>
                </c:pt>
                <c:pt idx="5">
                  <c:v>1t.zeusmp </c:v>
                </c:pt>
                <c:pt idx="6">
                  <c:v>1t.cactusADM </c:v>
                </c:pt>
                <c:pt idx="7">
                  <c:v>1t.leslie3d </c:v>
                </c:pt>
                <c:pt idx="8">
                  <c:v>1t.sjeng </c:v>
                </c:pt>
                <c:pt idx="9">
                  <c:v>1t.lbm </c:v>
                </c:pt>
                <c:pt idx="10">
                  <c:v>1t.wrf </c:v>
                </c:pt>
                <c:pt idx="11">
                  <c:v>2t.bzip2 </c:v>
                </c:pt>
                <c:pt idx="12">
                  <c:v>2t.gcc </c:v>
                </c:pt>
                <c:pt idx="13">
                  <c:v>2t.bwaves </c:v>
                </c:pt>
                <c:pt idx="14">
                  <c:v>2t.mcf </c:v>
                </c:pt>
                <c:pt idx="15">
                  <c:v>2t.milc </c:v>
                </c:pt>
                <c:pt idx="16">
                  <c:v>2t.zeusmp </c:v>
                </c:pt>
                <c:pt idx="17">
                  <c:v>2t.cactusADM </c:v>
                </c:pt>
                <c:pt idx="18">
                  <c:v>2t.leslie3d </c:v>
                </c:pt>
                <c:pt idx="19">
                  <c:v>2t.sjeng </c:v>
                </c:pt>
                <c:pt idx="20">
                  <c:v>2t.lbm </c:v>
                </c:pt>
                <c:pt idx="21">
                  <c:v>2t.wrf </c:v>
                </c:pt>
                <c:pt idx="22">
                  <c:v>4t.bzip2 </c:v>
                </c:pt>
                <c:pt idx="23">
                  <c:v>4t.gcc </c:v>
                </c:pt>
                <c:pt idx="24">
                  <c:v>4t.bwaves </c:v>
                </c:pt>
                <c:pt idx="25">
                  <c:v>4t.mcf </c:v>
                </c:pt>
                <c:pt idx="26">
                  <c:v>4t.milc </c:v>
                </c:pt>
                <c:pt idx="27">
                  <c:v>4t.zeusmp </c:v>
                </c:pt>
                <c:pt idx="28">
                  <c:v>4t.cactusADM </c:v>
                </c:pt>
                <c:pt idx="29">
                  <c:v>4t.leslie3d </c:v>
                </c:pt>
                <c:pt idx="30">
                  <c:v>4t.sjeng </c:v>
                </c:pt>
                <c:pt idx="31">
                  <c:v>4t.lbm </c:v>
                </c:pt>
                <c:pt idx="32">
                  <c:v>4t.wrf </c:v>
                </c:pt>
              </c:strCache>
            </c:strRef>
          </c:cat>
          <c:val>
            <c:numRef>
              <c:f>stash_size!$C$1:$C$33</c:f>
              <c:numCache>
                <c:formatCode>General</c:formatCode>
                <c:ptCount val="33"/>
                <c:pt idx="0">
                  <c:v>844</c:v>
                </c:pt>
                <c:pt idx="1">
                  <c:v>83</c:v>
                </c:pt>
                <c:pt idx="2">
                  <c:v>834</c:v>
                </c:pt>
                <c:pt idx="3">
                  <c:v>24</c:v>
                </c:pt>
                <c:pt idx="4">
                  <c:v>347</c:v>
                </c:pt>
                <c:pt idx="5">
                  <c:v>256</c:v>
                </c:pt>
                <c:pt idx="6">
                  <c:v>578</c:v>
                </c:pt>
                <c:pt idx="7">
                  <c:v>123</c:v>
                </c:pt>
                <c:pt idx="8">
                  <c:v>174</c:v>
                </c:pt>
                <c:pt idx="9">
                  <c:v>409</c:v>
                </c:pt>
                <c:pt idx="10">
                  <c:v>356</c:v>
                </c:pt>
                <c:pt idx="11">
                  <c:v>1688</c:v>
                </c:pt>
                <c:pt idx="12">
                  <c:v>166</c:v>
                </c:pt>
                <c:pt idx="13">
                  <c:v>1668</c:v>
                </c:pt>
                <c:pt idx="14">
                  <c:v>48</c:v>
                </c:pt>
                <c:pt idx="15">
                  <c:v>694</c:v>
                </c:pt>
                <c:pt idx="16">
                  <c:v>512</c:v>
                </c:pt>
                <c:pt idx="17">
                  <c:v>1156</c:v>
                </c:pt>
                <c:pt idx="18">
                  <c:v>246</c:v>
                </c:pt>
                <c:pt idx="19">
                  <c:v>348</c:v>
                </c:pt>
                <c:pt idx="20">
                  <c:v>818</c:v>
                </c:pt>
                <c:pt idx="21">
                  <c:v>712</c:v>
                </c:pt>
                <c:pt idx="22">
                  <c:v>3376</c:v>
                </c:pt>
                <c:pt idx="23">
                  <c:v>332</c:v>
                </c:pt>
                <c:pt idx="24">
                  <c:v>3336</c:v>
                </c:pt>
                <c:pt idx="25">
                  <c:v>96</c:v>
                </c:pt>
                <c:pt idx="26">
                  <c:v>1388</c:v>
                </c:pt>
                <c:pt idx="27">
                  <c:v>1024</c:v>
                </c:pt>
                <c:pt idx="28">
                  <c:v>2312</c:v>
                </c:pt>
                <c:pt idx="29">
                  <c:v>492</c:v>
                </c:pt>
                <c:pt idx="30">
                  <c:v>696</c:v>
                </c:pt>
                <c:pt idx="31">
                  <c:v>1636</c:v>
                </c:pt>
                <c:pt idx="32">
                  <c:v>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9-4615-BE0D-6316B304F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011296"/>
        <c:axId val="36541984"/>
      </c:lineChart>
      <c:catAx>
        <c:axId val="197519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41152"/>
        <c:crosses val="autoZero"/>
        <c:auto val="1"/>
        <c:lblAlgn val="ctr"/>
        <c:lblOffset val="100"/>
        <c:noMultiLvlLbl val="0"/>
      </c:catAx>
      <c:valAx>
        <c:axId val="365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Stash</a:t>
                </a:r>
                <a:r>
                  <a:rPr lang="zh-CN" altLang="en-US" sz="1400"/>
                  <a:t>数据块数量</a:t>
                </a:r>
                <a:r>
                  <a:rPr lang="en-US" altLang="zh-CN" sz="1400"/>
                  <a:t>(</a:t>
                </a:r>
                <a:r>
                  <a:rPr lang="zh-CN" altLang="en-US" sz="1400"/>
                  <a:t>个</a:t>
                </a:r>
                <a:r>
                  <a:rPr lang="en-US" altLang="zh-CN" sz="1400"/>
                  <a:t>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5190976"/>
        <c:crosses val="autoZero"/>
        <c:crossBetween val="between"/>
      </c:valAx>
      <c:valAx>
        <c:axId val="36541984"/>
        <c:scaling>
          <c:orientation val="minMax"/>
          <c:max val="4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400"/>
                  <a:t>内存使用量</a:t>
                </a:r>
                <a:r>
                  <a:rPr lang="en-US" altLang="zh-CN" sz="1400"/>
                  <a:t>(MB)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011296"/>
        <c:crosses val="max"/>
        <c:crossBetween val="between"/>
      </c:valAx>
      <c:catAx>
        <c:axId val="150601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41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Stash</a:t>
            </a:r>
            <a:r>
              <a:rPr lang="zh-CN" altLang="en-US"/>
              <a:t>容纳数据量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stash_size!$Q$1</c:f>
              <c:strCache>
                <c:ptCount val="1"/>
                <c:pt idx="0">
                  <c:v>Ring ORAM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stash_size!$P$2:$P$34</c:f>
              <c:strCache>
                <c:ptCount val="33"/>
                <c:pt idx="0">
                  <c:v>1t.bzip2</c:v>
                </c:pt>
                <c:pt idx="1">
                  <c:v>1t.gcc </c:v>
                </c:pt>
                <c:pt idx="2">
                  <c:v>1t.bwaves </c:v>
                </c:pt>
                <c:pt idx="3">
                  <c:v>1t.mcf </c:v>
                </c:pt>
                <c:pt idx="4">
                  <c:v>1t.milc </c:v>
                </c:pt>
                <c:pt idx="5">
                  <c:v>1t.zeusmp </c:v>
                </c:pt>
                <c:pt idx="6">
                  <c:v>1t.cactusADM </c:v>
                </c:pt>
                <c:pt idx="7">
                  <c:v>1t.leslie3d </c:v>
                </c:pt>
                <c:pt idx="8">
                  <c:v>1t.sjeng </c:v>
                </c:pt>
                <c:pt idx="9">
                  <c:v>1t.lbm </c:v>
                </c:pt>
                <c:pt idx="10">
                  <c:v>1t.wrf </c:v>
                </c:pt>
                <c:pt idx="11">
                  <c:v>2t.bzip2 </c:v>
                </c:pt>
                <c:pt idx="12">
                  <c:v>2t.gcc </c:v>
                </c:pt>
                <c:pt idx="13">
                  <c:v>2t.bwaves </c:v>
                </c:pt>
                <c:pt idx="14">
                  <c:v>2t.mcf </c:v>
                </c:pt>
                <c:pt idx="15">
                  <c:v>2t.milc </c:v>
                </c:pt>
                <c:pt idx="16">
                  <c:v>2t.zeusmp </c:v>
                </c:pt>
                <c:pt idx="17">
                  <c:v>2t.cactusADM </c:v>
                </c:pt>
                <c:pt idx="18">
                  <c:v>2t.leslie3d </c:v>
                </c:pt>
                <c:pt idx="19">
                  <c:v>2t.sjeng </c:v>
                </c:pt>
                <c:pt idx="20">
                  <c:v>2t.lbm </c:v>
                </c:pt>
                <c:pt idx="21">
                  <c:v>2t.wrf </c:v>
                </c:pt>
                <c:pt idx="22">
                  <c:v>4t.bzip2 </c:v>
                </c:pt>
                <c:pt idx="23">
                  <c:v>4t.gcc </c:v>
                </c:pt>
                <c:pt idx="24">
                  <c:v>4t.bwaves </c:v>
                </c:pt>
                <c:pt idx="25">
                  <c:v>4t.mcf </c:v>
                </c:pt>
                <c:pt idx="26">
                  <c:v>4t.milc </c:v>
                </c:pt>
                <c:pt idx="27">
                  <c:v>4t.zeusmp </c:v>
                </c:pt>
                <c:pt idx="28">
                  <c:v>4t.cactusADM </c:v>
                </c:pt>
                <c:pt idx="29">
                  <c:v>4t.leslie3d </c:v>
                </c:pt>
                <c:pt idx="30">
                  <c:v>4t.sjeng </c:v>
                </c:pt>
                <c:pt idx="31">
                  <c:v>4t.lbm </c:v>
                </c:pt>
                <c:pt idx="32">
                  <c:v>4t.wrf </c:v>
                </c:pt>
              </c:strCache>
            </c:strRef>
          </c:cat>
          <c:val>
            <c:numRef>
              <c:f>stash_size!$Q$2:$Q$34</c:f>
              <c:numCache>
                <c:formatCode>General</c:formatCode>
                <c:ptCount val="33"/>
                <c:pt idx="0">
                  <c:v>13771</c:v>
                </c:pt>
                <c:pt idx="1">
                  <c:v>616</c:v>
                </c:pt>
                <c:pt idx="2">
                  <c:v>9712</c:v>
                </c:pt>
                <c:pt idx="3">
                  <c:v>722</c:v>
                </c:pt>
                <c:pt idx="4">
                  <c:v>662</c:v>
                </c:pt>
                <c:pt idx="5">
                  <c:v>651</c:v>
                </c:pt>
                <c:pt idx="6">
                  <c:v>1924</c:v>
                </c:pt>
                <c:pt idx="7">
                  <c:v>681</c:v>
                </c:pt>
                <c:pt idx="8">
                  <c:v>671</c:v>
                </c:pt>
                <c:pt idx="9">
                  <c:v>729</c:v>
                </c:pt>
                <c:pt idx="10">
                  <c:v>605</c:v>
                </c:pt>
                <c:pt idx="11">
                  <c:v>33397</c:v>
                </c:pt>
                <c:pt idx="12">
                  <c:v>626</c:v>
                </c:pt>
                <c:pt idx="13">
                  <c:v>23903</c:v>
                </c:pt>
                <c:pt idx="14">
                  <c:v>664</c:v>
                </c:pt>
                <c:pt idx="15">
                  <c:v>628</c:v>
                </c:pt>
                <c:pt idx="16">
                  <c:v>687</c:v>
                </c:pt>
                <c:pt idx="17">
                  <c:v>7691</c:v>
                </c:pt>
                <c:pt idx="18">
                  <c:v>642</c:v>
                </c:pt>
                <c:pt idx="19">
                  <c:v>694</c:v>
                </c:pt>
                <c:pt idx="20">
                  <c:v>1880</c:v>
                </c:pt>
                <c:pt idx="21">
                  <c:v>1193</c:v>
                </c:pt>
                <c:pt idx="22">
                  <c:v>89164</c:v>
                </c:pt>
                <c:pt idx="23">
                  <c:v>635</c:v>
                </c:pt>
                <c:pt idx="24">
                  <c:v>89709</c:v>
                </c:pt>
                <c:pt idx="25">
                  <c:v>691</c:v>
                </c:pt>
                <c:pt idx="26">
                  <c:v>14379</c:v>
                </c:pt>
                <c:pt idx="27">
                  <c:v>1711</c:v>
                </c:pt>
                <c:pt idx="28">
                  <c:v>23023</c:v>
                </c:pt>
                <c:pt idx="29">
                  <c:v>691</c:v>
                </c:pt>
                <c:pt idx="30">
                  <c:v>721</c:v>
                </c:pt>
                <c:pt idx="31">
                  <c:v>22210</c:v>
                </c:pt>
                <c:pt idx="32">
                  <c:v>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8-4309-ADA5-0494EC862085}"/>
            </c:ext>
          </c:extLst>
        </c:ser>
        <c:ser>
          <c:idx val="1"/>
          <c:order val="1"/>
          <c:tx>
            <c:strRef>
              <c:f>stash_size!$R$1</c:f>
              <c:strCache>
                <c:ptCount val="1"/>
                <c:pt idx="0">
                  <c:v>Ring ORAM + MASK Slot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stash_size!$P$2:$P$34</c:f>
              <c:strCache>
                <c:ptCount val="33"/>
                <c:pt idx="0">
                  <c:v>1t.bzip2</c:v>
                </c:pt>
                <c:pt idx="1">
                  <c:v>1t.gcc </c:v>
                </c:pt>
                <c:pt idx="2">
                  <c:v>1t.bwaves </c:v>
                </c:pt>
                <c:pt idx="3">
                  <c:v>1t.mcf </c:v>
                </c:pt>
                <c:pt idx="4">
                  <c:v>1t.milc </c:v>
                </c:pt>
                <c:pt idx="5">
                  <c:v>1t.zeusmp </c:v>
                </c:pt>
                <c:pt idx="6">
                  <c:v>1t.cactusADM </c:v>
                </c:pt>
                <c:pt idx="7">
                  <c:v>1t.leslie3d </c:v>
                </c:pt>
                <c:pt idx="8">
                  <c:v>1t.sjeng </c:v>
                </c:pt>
                <c:pt idx="9">
                  <c:v>1t.lbm </c:v>
                </c:pt>
                <c:pt idx="10">
                  <c:v>1t.wrf </c:v>
                </c:pt>
                <c:pt idx="11">
                  <c:v>2t.bzip2 </c:v>
                </c:pt>
                <c:pt idx="12">
                  <c:v>2t.gcc </c:v>
                </c:pt>
                <c:pt idx="13">
                  <c:v>2t.bwaves </c:v>
                </c:pt>
                <c:pt idx="14">
                  <c:v>2t.mcf </c:v>
                </c:pt>
                <c:pt idx="15">
                  <c:v>2t.milc </c:v>
                </c:pt>
                <c:pt idx="16">
                  <c:v>2t.zeusmp </c:v>
                </c:pt>
                <c:pt idx="17">
                  <c:v>2t.cactusADM </c:v>
                </c:pt>
                <c:pt idx="18">
                  <c:v>2t.leslie3d </c:v>
                </c:pt>
                <c:pt idx="19">
                  <c:v>2t.sjeng </c:v>
                </c:pt>
                <c:pt idx="20">
                  <c:v>2t.lbm </c:v>
                </c:pt>
                <c:pt idx="21">
                  <c:v>2t.wrf </c:v>
                </c:pt>
                <c:pt idx="22">
                  <c:v>4t.bzip2 </c:v>
                </c:pt>
                <c:pt idx="23">
                  <c:v>4t.gcc </c:v>
                </c:pt>
                <c:pt idx="24">
                  <c:v>4t.bwaves </c:v>
                </c:pt>
                <c:pt idx="25">
                  <c:v>4t.mcf </c:v>
                </c:pt>
                <c:pt idx="26">
                  <c:v>4t.milc </c:v>
                </c:pt>
                <c:pt idx="27">
                  <c:v>4t.zeusmp </c:v>
                </c:pt>
                <c:pt idx="28">
                  <c:v>4t.cactusADM </c:v>
                </c:pt>
                <c:pt idx="29">
                  <c:v>4t.leslie3d </c:v>
                </c:pt>
                <c:pt idx="30">
                  <c:v>4t.sjeng </c:v>
                </c:pt>
                <c:pt idx="31">
                  <c:v>4t.lbm </c:v>
                </c:pt>
                <c:pt idx="32">
                  <c:v>4t.wrf </c:v>
                </c:pt>
              </c:strCache>
            </c:strRef>
          </c:cat>
          <c:val>
            <c:numRef>
              <c:f>stash_size!$R$2:$R$34</c:f>
              <c:numCache>
                <c:formatCode>General</c:formatCode>
                <c:ptCount val="33"/>
                <c:pt idx="0">
                  <c:v>660</c:v>
                </c:pt>
                <c:pt idx="1">
                  <c:v>654</c:v>
                </c:pt>
                <c:pt idx="2">
                  <c:v>644</c:v>
                </c:pt>
                <c:pt idx="3">
                  <c:v>741</c:v>
                </c:pt>
                <c:pt idx="4">
                  <c:v>700</c:v>
                </c:pt>
                <c:pt idx="5">
                  <c:v>659</c:v>
                </c:pt>
                <c:pt idx="6">
                  <c:v>696</c:v>
                </c:pt>
                <c:pt idx="7">
                  <c:v>719</c:v>
                </c:pt>
                <c:pt idx="8">
                  <c:v>726</c:v>
                </c:pt>
                <c:pt idx="9">
                  <c:v>660</c:v>
                </c:pt>
                <c:pt idx="10">
                  <c:v>687</c:v>
                </c:pt>
                <c:pt idx="11">
                  <c:v>661</c:v>
                </c:pt>
                <c:pt idx="12">
                  <c:v>648</c:v>
                </c:pt>
                <c:pt idx="13">
                  <c:v>628</c:v>
                </c:pt>
                <c:pt idx="14">
                  <c:v>786</c:v>
                </c:pt>
                <c:pt idx="15">
                  <c:v>678</c:v>
                </c:pt>
                <c:pt idx="16">
                  <c:v>676</c:v>
                </c:pt>
                <c:pt idx="17">
                  <c:v>690</c:v>
                </c:pt>
                <c:pt idx="18">
                  <c:v>703</c:v>
                </c:pt>
                <c:pt idx="19">
                  <c:v>729</c:v>
                </c:pt>
                <c:pt idx="20">
                  <c:v>658</c:v>
                </c:pt>
                <c:pt idx="21">
                  <c:v>625</c:v>
                </c:pt>
                <c:pt idx="22">
                  <c:v>662</c:v>
                </c:pt>
                <c:pt idx="23">
                  <c:v>698</c:v>
                </c:pt>
                <c:pt idx="24">
                  <c:v>701</c:v>
                </c:pt>
                <c:pt idx="25">
                  <c:v>749</c:v>
                </c:pt>
                <c:pt idx="26">
                  <c:v>684</c:v>
                </c:pt>
                <c:pt idx="27">
                  <c:v>682</c:v>
                </c:pt>
                <c:pt idx="28">
                  <c:v>668</c:v>
                </c:pt>
                <c:pt idx="29">
                  <c:v>700</c:v>
                </c:pt>
                <c:pt idx="30">
                  <c:v>700</c:v>
                </c:pt>
                <c:pt idx="31">
                  <c:v>709</c:v>
                </c:pt>
                <c:pt idx="32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8-4309-ADA5-0494EC862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623359"/>
        <c:axId val="889358559"/>
      </c:barChart>
      <c:catAx>
        <c:axId val="9986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9358559"/>
        <c:crosses val="autoZero"/>
        <c:auto val="1"/>
        <c:lblAlgn val="ctr"/>
        <c:lblOffset val="100"/>
        <c:noMultiLvlLbl val="0"/>
      </c:catAx>
      <c:valAx>
        <c:axId val="889358559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Stash</a:t>
                </a:r>
                <a:r>
                  <a:rPr lang="zh-CN" altLang="en-US"/>
                  <a:t>数据块数量（个）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862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驱逐数据到指定层数所需要的</a:t>
            </a:r>
            <a:r>
              <a:rPr lang="en-US" altLang="zh-CN"/>
              <a:t>Eviction</a:t>
            </a:r>
            <a:r>
              <a:rPr lang="zh-CN" altLang="en-US"/>
              <a:t>次数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eviction_level!$C$1:$C$16</c:f>
              <c:numCache>
                <c:formatCode>General</c:formatCode>
                <c:ptCount val="16"/>
                <c:pt idx="0">
                  <c:v>1</c:v>
                </c:pt>
                <c:pt idx="1">
                  <c:v>1.54237</c:v>
                </c:pt>
                <c:pt idx="2">
                  <c:v>2.5356709999999998</c:v>
                </c:pt>
                <c:pt idx="3">
                  <c:v>4.5369590000000004</c:v>
                </c:pt>
                <c:pt idx="4">
                  <c:v>8.5708570000000002</c:v>
                </c:pt>
                <c:pt idx="5">
                  <c:v>16.557169999999999</c:v>
                </c:pt>
                <c:pt idx="6">
                  <c:v>32.541843</c:v>
                </c:pt>
                <c:pt idx="7">
                  <c:v>64.423349999999999</c:v>
                </c:pt>
                <c:pt idx="8">
                  <c:v>128.46902800000001</c:v>
                </c:pt>
                <c:pt idx="9">
                  <c:v>256.87531999999999</c:v>
                </c:pt>
                <c:pt idx="10">
                  <c:v>512.60646899999995</c:v>
                </c:pt>
                <c:pt idx="11">
                  <c:v>1062.026046</c:v>
                </c:pt>
                <c:pt idx="12">
                  <c:v>2046.3566760000001</c:v>
                </c:pt>
                <c:pt idx="13">
                  <c:v>4281.6911209999998</c:v>
                </c:pt>
                <c:pt idx="14">
                  <c:v>8094.9235699999999</c:v>
                </c:pt>
                <c:pt idx="15">
                  <c:v>16384.091904000001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8-4612-910B-8988E616F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731328"/>
        <c:axId val="1977935248"/>
      </c:barChart>
      <c:catAx>
        <c:axId val="197973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ORAM</a:t>
                </a:r>
                <a:r>
                  <a:rPr lang="zh-CN" altLang="en-US" sz="1800"/>
                  <a:t>树层数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935248"/>
        <c:crosses val="autoZero"/>
        <c:auto val="1"/>
        <c:lblAlgn val="ctr"/>
        <c:lblOffset val="100"/>
        <c:noMultiLvlLbl val="0"/>
      </c:catAx>
      <c:valAx>
        <c:axId val="197793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Eviction</a:t>
                </a:r>
                <a:r>
                  <a:rPr lang="zh-CN" altLang="en-US" sz="1800"/>
                  <a:t>次数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973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中</a:t>
            </a:r>
            <a:r>
              <a:rPr lang="en-US" altLang="zh-CN"/>
              <a:t>7</a:t>
            </a:r>
            <a:r>
              <a:rPr lang="zh-CN" altLang="en-US"/>
              <a:t>层命中次数</a:t>
            </a:r>
            <a:r>
              <a:rPr lang="en-US" altLang="zh-CN"/>
              <a:t>/</a:t>
            </a:r>
            <a:r>
              <a:rPr lang="zh-CN" altLang="en-US"/>
              <a:t>下</a:t>
            </a:r>
            <a:r>
              <a:rPr lang="en-US" altLang="zh-CN"/>
              <a:t>3</a:t>
            </a:r>
            <a:r>
              <a:rPr lang="zh-CN" altLang="en-US"/>
              <a:t>层命中次数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'hit location'!$P$1:$P$34</c:f>
              <c:strCache>
                <c:ptCount val="34"/>
                <c:pt idx="0">
                  <c:v>1t.bzip2</c:v>
                </c:pt>
                <c:pt idx="1">
                  <c:v>1t.gcc </c:v>
                </c:pt>
                <c:pt idx="2">
                  <c:v>1t.bwaves </c:v>
                </c:pt>
                <c:pt idx="3">
                  <c:v>1t.mcf </c:v>
                </c:pt>
                <c:pt idx="4">
                  <c:v>1t.milc </c:v>
                </c:pt>
                <c:pt idx="5">
                  <c:v>1t.zeusmp </c:v>
                </c:pt>
                <c:pt idx="6">
                  <c:v>1t.cactusADM </c:v>
                </c:pt>
                <c:pt idx="7">
                  <c:v>1t.leslie3d </c:v>
                </c:pt>
                <c:pt idx="8">
                  <c:v>1t.sjeng </c:v>
                </c:pt>
                <c:pt idx="9">
                  <c:v>1t.lbm </c:v>
                </c:pt>
                <c:pt idx="10">
                  <c:v>1t.wrf </c:v>
                </c:pt>
                <c:pt idx="11">
                  <c:v>2t.bzip2 </c:v>
                </c:pt>
                <c:pt idx="12">
                  <c:v>2t.gcc </c:v>
                </c:pt>
                <c:pt idx="13">
                  <c:v>2t.bwaves </c:v>
                </c:pt>
                <c:pt idx="14">
                  <c:v>2t.mcf </c:v>
                </c:pt>
                <c:pt idx="15">
                  <c:v>2t.milc </c:v>
                </c:pt>
                <c:pt idx="16">
                  <c:v>2t.zeusmp </c:v>
                </c:pt>
                <c:pt idx="17">
                  <c:v>2t.cactusADM </c:v>
                </c:pt>
                <c:pt idx="18">
                  <c:v>2t.leslie3d </c:v>
                </c:pt>
                <c:pt idx="19">
                  <c:v>2t.sjeng </c:v>
                </c:pt>
                <c:pt idx="20">
                  <c:v>2t.lbm </c:v>
                </c:pt>
                <c:pt idx="21">
                  <c:v>2t.wrf </c:v>
                </c:pt>
                <c:pt idx="22">
                  <c:v>4t.bzip2 </c:v>
                </c:pt>
                <c:pt idx="23">
                  <c:v>4t.gcc </c:v>
                </c:pt>
                <c:pt idx="24">
                  <c:v>4t.bwaves </c:v>
                </c:pt>
                <c:pt idx="25">
                  <c:v>4t.mcf </c:v>
                </c:pt>
                <c:pt idx="26">
                  <c:v>4t.milc </c:v>
                </c:pt>
                <c:pt idx="27">
                  <c:v>4t.zeusmp </c:v>
                </c:pt>
                <c:pt idx="28">
                  <c:v>4t.cactusADM </c:v>
                </c:pt>
                <c:pt idx="29">
                  <c:v>4t.leslie3d </c:v>
                </c:pt>
                <c:pt idx="30">
                  <c:v>4t.sjeng </c:v>
                </c:pt>
                <c:pt idx="31">
                  <c:v>4t.lbm </c:v>
                </c:pt>
                <c:pt idx="32">
                  <c:v>4t.wrf </c:v>
                </c:pt>
                <c:pt idx="33">
                  <c:v>GMEAN</c:v>
                </c:pt>
              </c:strCache>
            </c:strRef>
          </c:cat>
          <c:val>
            <c:numRef>
              <c:f>'hit location'!$Q$1:$Q$34</c:f>
              <c:numCache>
                <c:formatCode>General</c:formatCode>
                <c:ptCount val="34"/>
                <c:pt idx="0">
                  <c:v>1.0362024034946287</c:v>
                </c:pt>
                <c:pt idx="1">
                  <c:v>11.207097611041847</c:v>
                </c:pt>
                <c:pt idx="2">
                  <c:v>0.99320034091514409</c:v>
                </c:pt>
                <c:pt idx="3">
                  <c:v>30.285041005508806</c:v>
                </c:pt>
                <c:pt idx="4">
                  <c:v>1.4285144740865967</c:v>
                </c:pt>
                <c:pt idx="5">
                  <c:v>3.0689974439919037</c:v>
                </c:pt>
                <c:pt idx="6">
                  <c:v>4.5053515911552031</c:v>
                </c:pt>
                <c:pt idx="7">
                  <c:v>6.704657591769605</c:v>
                </c:pt>
                <c:pt idx="8">
                  <c:v>3.7551730083917692</c:v>
                </c:pt>
                <c:pt idx="9">
                  <c:v>1.2407482406125361</c:v>
                </c:pt>
                <c:pt idx="10">
                  <c:v>1.836328792151567</c:v>
                </c:pt>
                <c:pt idx="11">
                  <c:v>0.78764221311984628</c:v>
                </c:pt>
                <c:pt idx="12">
                  <c:v>7.2135387086388576</c:v>
                </c:pt>
                <c:pt idx="13">
                  <c:v>0.86161974611572856</c:v>
                </c:pt>
                <c:pt idx="14">
                  <c:v>17.023178767069275</c:v>
                </c:pt>
                <c:pt idx="15">
                  <c:v>0.55184928251178689</c:v>
                </c:pt>
                <c:pt idx="16">
                  <c:v>2.0171922484072971</c:v>
                </c:pt>
                <c:pt idx="17">
                  <c:v>3.5758787026132204</c:v>
                </c:pt>
                <c:pt idx="18">
                  <c:v>4.2756683143553085</c:v>
                </c:pt>
                <c:pt idx="19">
                  <c:v>2.138000341604668</c:v>
                </c:pt>
                <c:pt idx="20">
                  <c:v>0.83931963646340146</c:v>
                </c:pt>
                <c:pt idx="21">
                  <c:v>1.8294293082184101</c:v>
                </c:pt>
                <c:pt idx="22">
                  <c:v>0.6476037049369433</c:v>
                </c:pt>
                <c:pt idx="23">
                  <c:v>4.3584738927805455</c:v>
                </c:pt>
                <c:pt idx="24">
                  <c:v>0.75911201222378932</c:v>
                </c:pt>
                <c:pt idx="25">
                  <c:v>12.458238582332363</c:v>
                </c:pt>
                <c:pt idx="26">
                  <c:v>0.31074747923094387</c:v>
                </c:pt>
                <c:pt idx="27">
                  <c:v>1.4858765515931782</c:v>
                </c:pt>
                <c:pt idx="28">
                  <c:v>2.8841924529631218</c:v>
                </c:pt>
                <c:pt idx="29">
                  <c:v>2.9403494330406015</c:v>
                </c:pt>
                <c:pt idx="30">
                  <c:v>1.3406737729303362</c:v>
                </c:pt>
                <c:pt idx="31">
                  <c:v>0.66238129023228642</c:v>
                </c:pt>
                <c:pt idx="32">
                  <c:v>1.6034053992176305</c:v>
                </c:pt>
                <c:pt idx="33">
                  <c:v>2.2213230118472178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2-4ECD-82DC-5ADBCD383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63968"/>
        <c:axId val="1977012512"/>
      </c:barChart>
      <c:catAx>
        <c:axId val="3416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012512"/>
        <c:crosses val="autoZero"/>
        <c:auto val="1"/>
        <c:lblAlgn val="ctr"/>
        <c:lblOffset val="100"/>
        <c:noMultiLvlLbl val="0"/>
      </c:catAx>
      <c:valAx>
        <c:axId val="1977012512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6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471713</xdr:colOff>
      <xdr:row>41</xdr:row>
      <xdr:rowOff>104569</xdr:rowOff>
    </xdr:from>
    <xdr:to>
      <xdr:col>39</xdr:col>
      <xdr:colOff>307725</xdr:colOff>
      <xdr:row>57</xdr:row>
      <xdr:rowOff>73684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2279CB5-E394-4B22-923D-8D3EBC75B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478118</xdr:colOff>
      <xdr:row>23</xdr:row>
      <xdr:rowOff>37353</xdr:rowOff>
    </xdr:from>
    <xdr:to>
      <xdr:col>35</xdr:col>
      <xdr:colOff>493059</xdr:colOff>
      <xdr:row>23</xdr:row>
      <xdr:rowOff>37353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D9AD6FC6-3B47-471E-A742-D58E29E2D6FA}"/>
            </a:ext>
          </a:extLst>
        </xdr:cNvPr>
        <xdr:cNvCxnSpPr/>
      </xdr:nvCxnSpPr>
      <xdr:spPr>
        <a:xfrm>
          <a:off x="12378765" y="4161118"/>
          <a:ext cx="13820588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439139</xdr:colOff>
      <xdr:row>12</xdr:row>
      <xdr:rowOff>167245</xdr:rowOff>
    </xdr:from>
    <xdr:to>
      <xdr:col>36</xdr:col>
      <xdr:colOff>32162</xdr:colOff>
      <xdr:row>28</xdr:row>
      <xdr:rowOff>139536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57EE8E-0101-40D5-8706-A6D501B0D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102051</xdr:colOff>
      <xdr:row>3</xdr:row>
      <xdr:rowOff>125185</xdr:rowOff>
    </xdr:from>
    <xdr:to>
      <xdr:col>28</xdr:col>
      <xdr:colOff>136070</xdr:colOff>
      <xdr:row>19</xdr:row>
      <xdr:rowOff>38100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6181317-59CB-484D-9B14-40F7DA1C9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20411</xdr:colOff>
      <xdr:row>72</xdr:row>
      <xdr:rowOff>84364</xdr:rowOff>
    </xdr:from>
    <xdr:to>
      <xdr:col>35</xdr:col>
      <xdr:colOff>421822</xdr:colOff>
      <xdr:row>87</xdr:row>
      <xdr:rowOff>174171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8FA1B0F-AB1B-4BDE-AA10-1BCB9655F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0.30866</cdr:x>
      <cdr:y>0.17262</cdr:y>
    </cdr:from>
    <cdr:to>
      <cdr:x>0.31023</cdr:x>
      <cdr:y>0.73009</cdr:y>
    </cdr:to>
    <cdr:cxnSp macro="">
      <cdr:nvCxnSpPr>
        <cdr:cNvPr id="3" name="直接连接符 2">
          <a:extLst xmlns:a="http://schemas.openxmlformats.org/drawingml/2006/main">
            <a:ext uri="{FF2B5EF4-FFF2-40B4-BE49-F238E27FC236}">
              <a16:creationId xmlns:a16="http://schemas.microsoft.com/office/drawing/2014/main" id="{4D1D4973-3CC8-439D-A9D9-2FF216CEECB9}"/>
            </a:ext>
          </a:extLst>
        </cdr:cNvPr>
        <cdr:cNvCxnSpPr/>
      </cdr:nvCxnSpPr>
      <cdr:spPr>
        <a:xfrm xmlns:a="http://schemas.openxmlformats.org/drawingml/2006/main">
          <a:off x="4414583" y="490409"/>
          <a:ext cx="22413" cy="1583764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0.59536</cdr:x>
      <cdr:y>0.18354</cdr:y>
    </cdr:from>
    <cdr:to>
      <cdr:x>0.59693</cdr:x>
      <cdr:y>0.74101</cdr:y>
    </cdr:to>
    <cdr:cxnSp macro="">
      <cdr:nvCxnSpPr>
        <cdr:cNvPr id="7" name="直接连接符 6">
          <a:extLst xmlns:a="http://schemas.openxmlformats.org/drawingml/2006/main">
            <a:ext uri="{FF2B5EF4-FFF2-40B4-BE49-F238E27FC236}">
              <a16:creationId xmlns:a16="http://schemas.microsoft.com/office/drawing/2014/main" id="{E9BF41D7-25CF-4B4A-A1D7-E6CC69ECBFCC}"/>
            </a:ext>
          </a:extLst>
        </cdr:cNvPr>
        <cdr:cNvCxnSpPr/>
      </cdr:nvCxnSpPr>
      <cdr:spPr>
        <a:xfrm xmlns:a="http://schemas.openxmlformats.org/drawingml/2006/main">
          <a:off x="8514993" y="521449"/>
          <a:ext cx="22413" cy="1583764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0.88421</cdr:x>
      <cdr:y>0.18091</cdr:y>
    </cdr:from>
    <cdr:to>
      <cdr:x>0.88578</cdr:x>
      <cdr:y>0.73838</cdr:y>
    </cdr:to>
    <cdr:cxnSp macro="">
      <cdr:nvCxnSpPr>
        <cdr:cNvPr id="8" name="直接连接符 7">
          <a:extLst xmlns:a="http://schemas.openxmlformats.org/drawingml/2006/main">
            <a:ext uri="{FF2B5EF4-FFF2-40B4-BE49-F238E27FC236}">
              <a16:creationId xmlns:a16="http://schemas.microsoft.com/office/drawing/2014/main" id="{4B17F57A-4FD6-4225-B932-50B016684A15}"/>
            </a:ext>
          </a:extLst>
        </cdr:cNvPr>
        <cdr:cNvCxnSpPr/>
      </cdr:nvCxnSpPr>
      <cdr:spPr>
        <a:xfrm xmlns:a="http://schemas.openxmlformats.org/drawingml/2006/main">
          <a:off x="12646228" y="513976"/>
          <a:ext cx="22413" cy="1583764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1162050</xdr:colOff>
      <xdr:row>6</xdr:row>
      <xdr:rowOff>180974</xdr:rowOff>
    </xdr:from>
    <xdr:to>
      <xdr:col>17</xdr:col>
      <xdr:colOff>219075</xdr:colOff>
      <xdr:row>25</xdr:row>
      <xdr:rowOff>180974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BFAE73-480A-4B13-BF51-628935C3D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114300</xdr:rowOff>
    </xdr:from>
    <xdr:to>
      <xdr:col>15</xdr:col>
      <xdr:colOff>387350</xdr:colOff>
      <xdr:row>29</xdr:row>
      <xdr:rowOff>117474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932C53A-891E-418D-9776-1B19A00AD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304799</xdr:colOff>
      <xdr:row>34</xdr:row>
      <xdr:rowOff>142875</xdr:rowOff>
    </xdr:from>
    <xdr:to>
      <xdr:col>16</xdr:col>
      <xdr:colOff>200024</xdr:colOff>
      <xdr:row>56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F4403DA-FAB5-46EB-AEBD-63381CC55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4</xdr:row>
      <xdr:rowOff>66675</xdr:rowOff>
    </xdr:from>
    <xdr:to>
      <xdr:col>14</xdr:col>
      <xdr:colOff>200025</xdr:colOff>
      <xdr:row>23</xdr:row>
      <xdr:rowOff>87312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6ACE40F-BC8D-4F75-902C-44B94F6BC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7</xdr:row>
      <xdr:rowOff>131762</xdr:rowOff>
    </xdr:from>
    <xdr:to>
      <xdr:col>15</xdr:col>
      <xdr:colOff>114300</xdr:colOff>
      <xdr:row>22</xdr:row>
      <xdr:rowOff>153987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34420C-495E-4494-8C38-32183C535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1"/>
  <sheetViews>
    <sheetView zoomScale="70" zoomScaleNormal="70" workbookViewId="0">
      <selection sqref="A1:E33"/>
    </sheetView>
  </sheetViews>
  <sheetFormatPr defaultRowHeight="14.25"/>
  <cols>
    <col min="1" max="1" width="20.375" customWidth="1"/>
    <col min="2" max="2" width="18.875" customWidth="1"/>
    <col min="5" max="5" width="22" customWidth="1"/>
  </cols>
  <sheetData>
    <row r="1" spans="1:41">
      <c r="A1" t="s">
        <v>68</v>
      </c>
      <c r="B1">
        <v>128525681193</v>
      </c>
      <c r="D1" t="s">
        <v>33</v>
      </c>
      <c r="E1">
        <v>122904427004</v>
      </c>
      <c r="AI1" t="s">
        <v>86</v>
      </c>
      <c r="AJ1" t="s">
        <v>70</v>
      </c>
      <c r="AK1" t="s">
        <v>85</v>
      </c>
      <c r="AL1" t="s">
        <v>71</v>
      </c>
      <c r="AM1" t="str">
        <f>AJ1&amp;AK1&amp;AL1</f>
        <v>1t.bzip2</v>
      </c>
      <c r="AN1">
        <v>401</v>
      </c>
      <c r="AO1" t="s">
        <v>71</v>
      </c>
    </row>
    <row r="2" spans="1:41">
      <c r="A2" t="s">
        <v>1</v>
      </c>
      <c r="B2">
        <v>198475866859</v>
      </c>
      <c r="D2" t="s">
        <v>34</v>
      </c>
      <c r="E2">
        <v>13575761550</v>
      </c>
      <c r="AI2" t="s">
        <v>87</v>
      </c>
      <c r="AJ2" t="s">
        <v>70</v>
      </c>
      <c r="AK2" t="s">
        <v>85</v>
      </c>
      <c r="AL2" t="s">
        <v>72</v>
      </c>
      <c r="AM2" t="str">
        <f t="shared" ref="AM2:AM33" si="0">AJ2&amp;AK2&amp;AL2</f>
        <v xml:space="preserve">1t.gcc </v>
      </c>
      <c r="AN2">
        <v>403</v>
      </c>
      <c r="AO2" t="s">
        <v>72</v>
      </c>
    </row>
    <row r="3" spans="1:41">
      <c r="A3" t="s">
        <v>2</v>
      </c>
      <c r="B3">
        <v>162250138928</v>
      </c>
      <c r="D3" t="s">
        <v>35</v>
      </c>
      <c r="E3">
        <v>148748410047</v>
      </c>
      <c r="AI3" t="s">
        <v>88</v>
      </c>
      <c r="AJ3" t="s">
        <v>70</v>
      </c>
      <c r="AK3" t="s">
        <v>85</v>
      </c>
      <c r="AL3" t="s">
        <v>73</v>
      </c>
      <c r="AM3" t="str">
        <f t="shared" si="0"/>
        <v xml:space="preserve">1t.bwaves </v>
      </c>
      <c r="AN3">
        <v>410</v>
      </c>
      <c r="AO3" t="s">
        <v>73</v>
      </c>
    </row>
    <row r="4" spans="1:41">
      <c r="A4" t="s">
        <v>3</v>
      </c>
      <c r="B4">
        <v>4038011910306</v>
      </c>
      <c r="D4" t="s">
        <v>36</v>
      </c>
      <c r="E4">
        <v>34259536386</v>
      </c>
      <c r="AI4" t="s">
        <v>89</v>
      </c>
      <c r="AJ4" t="s">
        <v>70</v>
      </c>
      <c r="AK4" t="s">
        <v>85</v>
      </c>
      <c r="AL4" t="s">
        <v>74</v>
      </c>
      <c r="AM4" t="str">
        <f t="shared" si="0"/>
        <v xml:space="preserve">1t.mcf </v>
      </c>
      <c r="AN4">
        <v>429</v>
      </c>
      <c r="AO4" t="s">
        <v>74</v>
      </c>
    </row>
    <row r="5" spans="1:41">
      <c r="A5" t="s">
        <v>4</v>
      </c>
      <c r="B5">
        <v>795199657102</v>
      </c>
      <c r="D5" t="s">
        <v>37</v>
      </c>
      <c r="E5">
        <v>372177054594</v>
      </c>
      <c r="AI5" t="s">
        <v>90</v>
      </c>
      <c r="AJ5" t="s">
        <v>70</v>
      </c>
      <c r="AK5" t="s">
        <v>85</v>
      </c>
      <c r="AL5" t="s">
        <v>75</v>
      </c>
      <c r="AM5" t="str">
        <f t="shared" si="0"/>
        <v xml:space="preserve">1t.milc </v>
      </c>
      <c r="AN5">
        <v>433</v>
      </c>
      <c r="AO5" t="s">
        <v>75</v>
      </c>
    </row>
    <row r="6" spans="1:41">
      <c r="A6" t="s">
        <v>5</v>
      </c>
      <c r="B6">
        <v>178212089850</v>
      </c>
      <c r="D6" t="s">
        <v>38</v>
      </c>
      <c r="E6">
        <v>47800859865</v>
      </c>
      <c r="AI6" t="s">
        <v>91</v>
      </c>
      <c r="AJ6" t="s">
        <v>70</v>
      </c>
      <c r="AK6" t="s">
        <v>85</v>
      </c>
      <c r="AL6" t="s">
        <v>76</v>
      </c>
      <c r="AM6" t="str">
        <f t="shared" si="0"/>
        <v xml:space="preserve">1t.zeusmp </v>
      </c>
      <c r="AN6">
        <v>434</v>
      </c>
      <c r="AO6" t="s">
        <v>76</v>
      </c>
    </row>
    <row r="7" spans="1:41">
      <c r="A7" t="s">
        <v>6</v>
      </c>
      <c r="B7">
        <v>316203266873</v>
      </c>
      <c r="D7" t="s">
        <v>39</v>
      </c>
      <c r="E7">
        <v>77669483555</v>
      </c>
      <c r="AI7" t="s">
        <v>92</v>
      </c>
      <c r="AJ7" t="s">
        <v>70</v>
      </c>
      <c r="AK7" t="s">
        <v>85</v>
      </c>
      <c r="AL7" t="s">
        <v>77</v>
      </c>
      <c r="AM7" t="str">
        <f t="shared" si="0"/>
        <v xml:space="preserve">1t.cactusADM </v>
      </c>
      <c r="AN7">
        <v>436</v>
      </c>
      <c r="AO7" t="s">
        <v>77</v>
      </c>
    </row>
    <row r="8" spans="1:41">
      <c r="A8" t="s">
        <v>7</v>
      </c>
      <c r="B8">
        <v>239986550014</v>
      </c>
      <c r="D8" t="s">
        <v>40</v>
      </c>
      <c r="E8">
        <v>35213679857</v>
      </c>
      <c r="AI8" t="s">
        <v>93</v>
      </c>
      <c r="AJ8" t="s">
        <v>70</v>
      </c>
      <c r="AK8" t="s">
        <v>85</v>
      </c>
      <c r="AL8" t="s">
        <v>78</v>
      </c>
      <c r="AM8" t="str">
        <f t="shared" si="0"/>
        <v xml:space="preserve">1t.leslie3d </v>
      </c>
      <c r="AN8">
        <v>437</v>
      </c>
      <c r="AO8" t="s">
        <v>78</v>
      </c>
    </row>
    <row r="9" spans="1:41">
      <c r="A9" t="s">
        <v>8</v>
      </c>
      <c r="B9">
        <v>231554145149</v>
      </c>
      <c r="D9" t="s">
        <v>41</v>
      </c>
      <c r="E9">
        <v>26233057306</v>
      </c>
      <c r="AI9" t="s">
        <v>94</v>
      </c>
      <c r="AJ9" t="s">
        <v>70</v>
      </c>
      <c r="AK9" t="s">
        <v>85</v>
      </c>
      <c r="AL9" t="s">
        <v>79</v>
      </c>
      <c r="AM9" t="str">
        <f t="shared" si="0"/>
        <v xml:space="preserve">1t.sjeng </v>
      </c>
      <c r="AN9">
        <v>458</v>
      </c>
      <c r="AO9" t="s">
        <v>79</v>
      </c>
    </row>
    <row r="10" spans="1:41">
      <c r="A10" t="s">
        <v>9</v>
      </c>
      <c r="B10">
        <v>223557070128</v>
      </c>
      <c r="D10" t="s">
        <v>42</v>
      </c>
      <c r="E10">
        <v>122942849076</v>
      </c>
      <c r="AI10" t="s">
        <v>95</v>
      </c>
      <c r="AJ10" t="s">
        <v>70</v>
      </c>
      <c r="AK10" t="s">
        <v>85</v>
      </c>
      <c r="AL10" t="s">
        <v>80</v>
      </c>
      <c r="AM10" t="str">
        <f t="shared" si="0"/>
        <v xml:space="preserve">1t.lbm </v>
      </c>
      <c r="AN10">
        <v>470</v>
      </c>
      <c r="AO10" t="s">
        <v>80</v>
      </c>
    </row>
    <row r="11" spans="1:41">
      <c r="A11" t="s">
        <v>10</v>
      </c>
      <c r="B11">
        <v>57336605500</v>
      </c>
      <c r="D11" t="s">
        <v>43</v>
      </c>
      <c r="E11">
        <v>44129070344</v>
      </c>
      <c r="AI11" t="s">
        <v>96</v>
      </c>
      <c r="AJ11" t="s">
        <v>70</v>
      </c>
      <c r="AK11" t="s">
        <v>85</v>
      </c>
      <c r="AL11" t="s">
        <v>81</v>
      </c>
      <c r="AM11" t="str">
        <f t="shared" si="0"/>
        <v xml:space="preserve">1t.wrf </v>
      </c>
      <c r="AN11">
        <v>481</v>
      </c>
      <c r="AO11" t="s">
        <v>81</v>
      </c>
    </row>
    <row r="12" spans="1:41">
      <c r="A12" t="s">
        <v>11</v>
      </c>
      <c r="B12">
        <v>264311593239</v>
      </c>
      <c r="D12" t="s">
        <v>44</v>
      </c>
      <c r="E12">
        <v>286271801163</v>
      </c>
      <c r="AI12" t="s">
        <v>97</v>
      </c>
      <c r="AJ12" t="s">
        <v>82</v>
      </c>
      <c r="AK12" t="s">
        <v>85</v>
      </c>
      <c r="AL12" t="s">
        <v>83</v>
      </c>
      <c r="AM12" t="str">
        <f t="shared" si="0"/>
        <v xml:space="preserve">2t.bzip2 </v>
      </c>
      <c r="AN12">
        <v>401</v>
      </c>
      <c r="AO12" t="s">
        <v>83</v>
      </c>
    </row>
    <row r="13" spans="1:41">
      <c r="A13" t="s">
        <v>12</v>
      </c>
      <c r="B13">
        <v>455292956051</v>
      </c>
      <c r="D13" t="s">
        <v>45</v>
      </c>
      <c r="E13">
        <v>26641880158</v>
      </c>
      <c r="AI13" t="s">
        <v>98</v>
      </c>
      <c r="AJ13" t="s">
        <v>82</v>
      </c>
      <c r="AK13" t="s">
        <v>85</v>
      </c>
      <c r="AL13" t="s">
        <v>72</v>
      </c>
      <c r="AM13" t="str">
        <f t="shared" si="0"/>
        <v xml:space="preserve">2t.gcc </v>
      </c>
      <c r="AN13">
        <v>403</v>
      </c>
      <c r="AO13" t="s">
        <v>72</v>
      </c>
    </row>
    <row r="14" spans="1:41">
      <c r="A14" t="s">
        <v>13</v>
      </c>
      <c r="B14">
        <v>331468189317</v>
      </c>
      <c r="D14" t="s">
        <v>46</v>
      </c>
      <c r="E14">
        <v>366289880595</v>
      </c>
      <c r="AI14" t="s">
        <v>99</v>
      </c>
      <c r="AJ14" t="s">
        <v>82</v>
      </c>
      <c r="AK14" t="s">
        <v>85</v>
      </c>
      <c r="AL14" t="s">
        <v>73</v>
      </c>
      <c r="AM14" t="str">
        <f t="shared" si="0"/>
        <v xml:space="preserve">2t.bwaves </v>
      </c>
      <c r="AN14">
        <v>410</v>
      </c>
      <c r="AO14" t="s">
        <v>73</v>
      </c>
    </row>
    <row r="15" spans="1:41">
      <c r="A15" t="s">
        <v>14</v>
      </c>
      <c r="B15">
        <v>12857748010102</v>
      </c>
      <c r="D15" t="s">
        <v>47</v>
      </c>
      <c r="E15">
        <v>67397099474</v>
      </c>
      <c r="AI15" t="s">
        <v>100</v>
      </c>
      <c r="AJ15" t="s">
        <v>82</v>
      </c>
      <c r="AK15" t="s">
        <v>85</v>
      </c>
      <c r="AL15" t="s">
        <v>74</v>
      </c>
      <c r="AM15" t="str">
        <f t="shared" si="0"/>
        <v xml:space="preserve">2t.mcf </v>
      </c>
      <c r="AN15">
        <v>429</v>
      </c>
      <c r="AO15" t="s">
        <v>74</v>
      </c>
    </row>
    <row r="16" spans="1:41">
      <c r="A16" t="s">
        <v>15</v>
      </c>
      <c r="B16">
        <v>1610638465658</v>
      </c>
      <c r="D16" t="s">
        <v>48</v>
      </c>
      <c r="E16">
        <v>1642222720368</v>
      </c>
      <c r="AI16" t="s">
        <v>101</v>
      </c>
      <c r="AJ16" t="s">
        <v>82</v>
      </c>
      <c r="AK16" t="s">
        <v>85</v>
      </c>
      <c r="AL16" t="s">
        <v>75</v>
      </c>
      <c r="AM16" t="str">
        <f t="shared" si="0"/>
        <v xml:space="preserve">2t.milc </v>
      </c>
      <c r="AN16">
        <v>433</v>
      </c>
      <c r="AO16" t="s">
        <v>75</v>
      </c>
    </row>
    <row r="17" spans="1:41">
      <c r="A17" t="s">
        <v>16</v>
      </c>
      <c r="B17">
        <v>368809104237</v>
      </c>
      <c r="D17" t="s">
        <v>49</v>
      </c>
      <c r="E17">
        <v>133659109860</v>
      </c>
      <c r="AI17" t="s">
        <v>102</v>
      </c>
      <c r="AJ17" t="s">
        <v>82</v>
      </c>
      <c r="AK17" t="s">
        <v>85</v>
      </c>
      <c r="AL17" t="s">
        <v>76</v>
      </c>
      <c r="AM17" t="str">
        <f t="shared" si="0"/>
        <v xml:space="preserve">2t.zeusmp </v>
      </c>
      <c r="AN17">
        <v>434</v>
      </c>
      <c r="AO17" t="s">
        <v>76</v>
      </c>
    </row>
    <row r="18" spans="1:41">
      <c r="A18" t="s">
        <v>17</v>
      </c>
      <c r="B18">
        <v>782992557256</v>
      </c>
      <c r="D18" t="s">
        <v>50</v>
      </c>
      <c r="E18">
        <v>172754994484</v>
      </c>
      <c r="AI18" t="s">
        <v>103</v>
      </c>
      <c r="AJ18" t="s">
        <v>82</v>
      </c>
      <c r="AK18" t="s">
        <v>85</v>
      </c>
      <c r="AL18" t="s">
        <v>77</v>
      </c>
      <c r="AM18" t="str">
        <f t="shared" si="0"/>
        <v xml:space="preserve">2t.cactusADM </v>
      </c>
      <c r="AN18">
        <v>436</v>
      </c>
      <c r="AO18" t="s">
        <v>77</v>
      </c>
    </row>
    <row r="19" spans="1:41">
      <c r="A19" t="s">
        <v>18</v>
      </c>
      <c r="B19">
        <v>549730683751</v>
      </c>
      <c r="D19" t="s">
        <v>51</v>
      </c>
      <c r="E19">
        <v>74586084965</v>
      </c>
      <c r="AI19" t="s">
        <v>104</v>
      </c>
      <c r="AJ19" t="s">
        <v>82</v>
      </c>
      <c r="AK19" t="s">
        <v>85</v>
      </c>
      <c r="AL19" t="s">
        <v>78</v>
      </c>
      <c r="AM19" t="str">
        <f t="shared" si="0"/>
        <v xml:space="preserve">2t.leslie3d </v>
      </c>
      <c r="AN19">
        <v>437</v>
      </c>
      <c r="AO19" t="s">
        <v>78</v>
      </c>
    </row>
    <row r="20" spans="1:41">
      <c r="A20" t="s">
        <v>19</v>
      </c>
      <c r="B20">
        <v>471070873928</v>
      </c>
      <c r="D20" t="s">
        <v>52</v>
      </c>
      <c r="E20">
        <v>120477738479</v>
      </c>
      <c r="AI20" t="s">
        <v>105</v>
      </c>
      <c r="AJ20" t="s">
        <v>82</v>
      </c>
      <c r="AK20" t="s">
        <v>85</v>
      </c>
      <c r="AL20" t="s">
        <v>79</v>
      </c>
      <c r="AM20" t="str">
        <f t="shared" si="0"/>
        <v xml:space="preserve">2t.sjeng </v>
      </c>
      <c r="AN20">
        <v>458</v>
      </c>
      <c r="AO20" t="s">
        <v>79</v>
      </c>
    </row>
    <row r="21" spans="1:41">
      <c r="A21" t="s">
        <v>20</v>
      </c>
      <c r="B21">
        <v>451417536651</v>
      </c>
      <c r="D21" t="s">
        <v>53</v>
      </c>
      <c r="E21">
        <v>353317955221</v>
      </c>
      <c r="AI21" t="s">
        <v>106</v>
      </c>
      <c r="AJ21" t="s">
        <v>82</v>
      </c>
      <c r="AK21" t="s">
        <v>85</v>
      </c>
      <c r="AL21" t="s">
        <v>80</v>
      </c>
      <c r="AM21" t="str">
        <f t="shared" si="0"/>
        <v xml:space="preserve">2t.lbm </v>
      </c>
      <c r="AN21">
        <v>470</v>
      </c>
      <c r="AO21" t="s">
        <v>80</v>
      </c>
    </row>
    <row r="22" spans="1:41">
      <c r="A22" t="s">
        <v>21</v>
      </c>
      <c r="B22">
        <v>128547240758</v>
      </c>
      <c r="D22" t="s">
        <v>54</v>
      </c>
      <c r="E22">
        <v>88648670530</v>
      </c>
      <c r="AI22" t="s">
        <v>107</v>
      </c>
      <c r="AJ22" t="s">
        <v>82</v>
      </c>
      <c r="AK22" t="s">
        <v>85</v>
      </c>
      <c r="AL22" t="s">
        <v>81</v>
      </c>
      <c r="AM22" t="str">
        <f t="shared" si="0"/>
        <v xml:space="preserve">2t.wrf </v>
      </c>
      <c r="AN22">
        <v>481</v>
      </c>
      <c r="AO22" t="s">
        <v>81</v>
      </c>
    </row>
    <row r="23" spans="1:41">
      <c r="A23" t="s">
        <v>22</v>
      </c>
      <c r="B23">
        <v>522951248681</v>
      </c>
      <c r="D23" t="s">
        <v>55</v>
      </c>
      <c r="E23">
        <v>652642736825</v>
      </c>
      <c r="AI23" t="s">
        <v>108</v>
      </c>
      <c r="AJ23" t="s">
        <v>84</v>
      </c>
      <c r="AK23" t="s">
        <v>85</v>
      </c>
      <c r="AL23" t="s">
        <v>83</v>
      </c>
      <c r="AM23" t="str">
        <f t="shared" si="0"/>
        <v xml:space="preserve">4t.bzip2 </v>
      </c>
      <c r="AN23">
        <v>401</v>
      </c>
      <c r="AO23" t="s">
        <v>83</v>
      </c>
    </row>
    <row r="24" spans="1:41">
      <c r="A24" t="s">
        <v>23</v>
      </c>
      <c r="B24">
        <v>997703831700</v>
      </c>
      <c r="D24" t="s">
        <v>56</v>
      </c>
      <c r="E24">
        <v>67547923291</v>
      </c>
      <c r="AI24" t="s">
        <v>109</v>
      </c>
      <c r="AJ24" t="s">
        <v>84</v>
      </c>
      <c r="AK24" t="s">
        <v>85</v>
      </c>
      <c r="AL24" t="s">
        <v>72</v>
      </c>
      <c r="AM24" t="str">
        <f t="shared" si="0"/>
        <v xml:space="preserve">4t.gcc </v>
      </c>
      <c r="AN24">
        <v>403</v>
      </c>
      <c r="AO24" t="s">
        <v>72</v>
      </c>
    </row>
    <row r="25" spans="1:41">
      <c r="A25" t="s">
        <v>24</v>
      </c>
      <c r="B25">
        <v>667829730761</v>
      </c>
      <c r="D25" t="s">
        <v>57</v>
      </c>
      <c r="E25">
        <v>801309693934</v>
      </c>
      <c r="AI25" t="s">
        <v>110</v>
      </c>
      <c r="AJ25" t="s">
        <v>84</v>
      </c>
      <c r="AK25" t="s">
        <v>85</v>
      </c>
      <c r="AL25" t="s">
        <v>73</v>
      </c>
      <c r="AM25" t="str">
        <f t="shared" si="0"/>
        <v xml:space="preserve">4t.bwaves </v>
      </c>
      <c r="AN25">
        <v>410</v>
      </c>
      <c r="AO25" t="s">
        <v>73</v>
      </c>
    </row>
    <row r="26" spans="1:41">
      <c r="A26" t="s">
        <v>25</v>
      </c>
      <c r="B26">
        <v>34352275541448</v>
      </c>
      <c r="D26" t="s">
        <v>58</v>
      </c>
      <c r="E26">
        <v>133608667821</v>
      </c>
      <c r="AI26" t="s">
        <v>111</v>
      </c>
      <c r="AJ26" t="s">
        <v>84</v>
      </c>
      <c r="AK26" t="s">
        <v>85</v>
      </c>
      <c r="AL26" t="s">
        <v>74</v>
      </c>
      <c r="AM26" t="str">
        <f t="shared" si="0"/>
        <v xml:space="preserve">4t.mcf </v>
      </c>
      <c r="AN26">
        <v>429</v>
      </c>
      <c r="AO26" t="s">
        <v>74</v>
      </c>
    </row>
    <row r="27" spans="1:41">
      <c r="A27" t="s">
        <v>26</v>
      </c>
      <c r="B27">
        <v>3213808042564</v>
      </c>
      <c r="D27" t="s">
        <v>59</v>
      </c>
      <c r="E27">
        <v>5232640137298</v>
      </c>
      <c r="AI27" t="s">
        <v>112</v>
      </c>
      <c r="AJ27" t="s">
        <v>84</v>
      </c>
      <c r="AK27" t="s">
        <v>85</v>
      </c>
      <c r="AL27" t="s">
        <v>75</v>
      </c>
      <c r="AM27" t="str">
        <f t="shared" si="0"/>
        <v xml:space="preserve">4t.milc </v>
      </c>
      <c r="AN27">
        <v>433</v>
      </c>
      <c r="AO27" t="s">
        <v>75</v>
      </c>
    </row>
    <row r="28" spans="1:41">
      <c r="A28" t="s">
        <v>27</v>
      </c>
      <c r="B28">
        <v>787602575600</v>
      </c>
      <c r="D28" t="s">
        <v>60</v>
      </c>
      <c r="E28">
        <v>396553633320</v>
      </c>
      <c r="AI28" t="s">
        <v>113</v>
      </c>
      <c r="AJ28" t="s">
        <v>84</v>
      </c>
      <c r="AK28" t="s">
        <v>85</v>
      </c>
      <c r="AL28" t="s">
        <v>76</v>
      </c>
      <c r="AM28" t="str">
        <f t="shared" si="0"/>
        <v xml:space="preserve">4t.zeusmp </v>
      </c>
      <c r="AN28">
        <v>434</v>
      </c>
      <c r="AO28" t="s">
        <v>76</v>
      </c>
    </row>
    <row r="29" spans="1:41">
      <c r="A29" t="s">
        <v>28</v>
      </c>
      <c r="B29">
        <v>1554413152456</v>
      </c>
      <c r="D29" t="s">
        <v>61</v>
      </c>
      <c r="E29">
        <v>379403428342</v>
      </c>
      <c r="AI29" t="s">
        <v>114</v>
      </c>
      <c r="AJ29" t="s">
        <v>84</v>
      </c>
      <c r="AK29" t="s">
        <v>85</v>
      </c>
      <c r="AL29" t="s">
        <v>77</v>
      </c>
      <c r="AM29" t="str">
        <f t="shared" si="0"/>
        <v xml:space="preserve">4t.cactusADM </v>
      </c>
      <c r="AN29">
        <v>436</v>
      </c>
      <c r="AO29" t="s">
        <v>77</v>
      </c>
    </row>
    <row r="30" spans="1:41">
      <c r="A30" t="s">
        <v>29</v>
      </c>
      <c r="B30">
        <v>1251773912456</v>
      </c>
      <c r="D30" t="s">
        <v>62</v>
      </c>
      <c r="E30">
        <v>267519752213</v>
      </c>
      <c r="AI30" t="s">
        <v>115</v>
      </c>
      <c r="AJ30" t="s">
        <v>84</v>
      </c>
      <c r="AK30" t="s">
        <v>85</v>
      </c>
      <c r="AL30" t="s">
        <v>78</v>
      </c>
      <c r="AM30" t="str">
        <f t="shared" si="0"/>
        <v xml:space="preserve">4t.leslie3d </v>
      </c>
      <c r="AN30">
        <v>437</v>
      </c>
      <c r="AO30" t="s">
        <v>78</v>
      </c>
    </row>
    <row r="31" spans="1:41">
      <c r="A31" t="s">
        <v>30</v>
      </c>
      <c r="B31">
        <v>949080871433</v>
      </c>
      <c r="D31" t="s">
        <v>63</v>
      </c>
      <c r="E31">
        <v>423803715525</v>
      </c>
      <c r="AI31" t="s">
        <v>116</v>
      </c>
      <c r="AJ31" t="s">
        <v>84</v>
      </c>
      <c r="AK31" t="s">
        <v>85</v>
      </c>
      <c r="AL31" t="s">
        <v>79</v>
      </c>
      <c r="AM31" t="str">
        <f t="shared" si="0"/>
        <v xml:space="preserve">4t.sjeng </v>
      </c>
      <c r="AN31">
        <v>458</v>
      </c>
      <c r="AO31" t="s">
        <v>79</v>
      </c>
    </row>
    <row r="32" spans="1:41">
      <c r="A32" t="s">
        <v>31</v>
      </c>
      <c r="B32">
        <v>908936367300</v>
      </c>
      <c r="D32" t="s">
        <v>64</v>
      </c>
      <c r="E32">
        <v>1000145138580</v>
      </c>
      <c r="AI32" t="s">
        <v>117</v>
      </c>
      <c r="AJ32" t="s">
        <v>84</v>
      </c>
      <c r="AK32" t="s">
        <v>85</v>
      </c>
      <c r="AL32" t="s">
        <v>80</v>
      </c>
      <c r="AM32" t="str">
        <f t="shared" si="0"/>
        <v xml:space="preserve">4t.lbm </v>
      </c>
      <c r="AN32">
        <v>470</v>
      </c>
      <c r="AO32" t="s">
        <v>80</v>
      </c>
    </row>
    <row r="33" spans="1:41">
      <c r="A33" t="s">
        <v>32</v>
      </c>
      <c r="B33">
        <v>272015820996</v>
      </c>
      <c r="D33" t="s">
        <v>65</v>
      </c>
      <c r="E33">
        <v>191293500010</v>
      </c>
      <c r="AI33" t="s">
        <v>118</v>
      </c>
      <c r="AJ33" t="s">
        <v>84</v>
      </c>
      <c r="AK33" t="s">
        <v>85</v>
      </c>
      <c r="AL33" t="s">
        <v>81</v>
      </c>
      <c r="AM33" t="str">
        <f t="shared" si="0"/>
        <v xml:space="preserve">4t.wrf </v>
      </c>
      <c r="AN33">
        <v>481</v>
      </c>
      <c r="AO33" t="s">
        <v>81</v>
      </c>
    </row>
    <row r="35" spans="1:41">
      <c r="B35" t="s">
        <v>68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10</v>
      </c>
      <c r="M35" t="s">
        <v>11</v>
      </c>
      <c r="N35" t="s">
        <v>12</v>
      </c>
      <c r="O35" t="s">
        <v>13</v>
      </c>
      <c r="P35" t="s">
        <v>14</v>
      </c>
      <c r="Q35" t="s">
        <v>15</v>
      </c>
      <c r="R35" t="s">
        <v>16</v>
      </c>
      <c r="S35" t="s">
        <v>17</v>
      </c>
      <c r="T35" t="s">
        <v>18</v>
      </c>
      <c r="U35" t="s">
        <v>19</v>
      </c>
      <c r="V35" t="s">
        <v>20</v>
      </c>
      <c r="W35" t="s">
        <v>21</v>
      </c>
      <c r="X35" t="s">
        <v>22</v>
      </c>
      <c r="Y35" t="s">
        <v>23</v>
      </c>
      <c r="Z35" t="s">
        <v>24</v>
      </c>
      <c r="AA35" t="s">
        <v>25</v>
      </c>
      <c r="AB35" t="s">
        <v>26</v>
      </c>
      <c r="AC35" t="s">
        <v>27</v>
      </c>
      <c r="AD35" t="s">
        <v>28</v>
      </c>
      <c r="AE35" t="s">
        <v>29</v>
      </c>
      <c r="AF35" t="s">
        <v>30</v>
      </c>
      <c r="AG35" t="s">
        <v>31</v>
      </c>
      <c r="AH35" t="s">
        <v>32</v>
      </c>
      <c r="AI35" t="s">
        <v>69</v>
      </c>
    </row>
    <row r="36" spans="1:41">
      <c r="A36" t="s">
        <v>66</v>
      </c>
      <c r="B36">
        <v>128525681193</v>
      </c>
      <c r="C36">
        <v>198475866859</v>
      </c>
      <c r="D36">
        <v>162250138928</v>
      </c>
      <c r="E36">
        <v>4038011910306</v>
      </c>
      <c r="F36">
        <v>795199657102</v>
      </c>
      <c r="G36">
        <v>178212089850</v>
      </c>
      <c r="H36">
        <v>316203266873</v>
      </c>
      <c r="I36">
        <v>239986550014</v>
      </c>
      <c r="J36">
        <v>231554145149</v>
      </c>
      <c r="K36">
        <v>223557070128</v>
      </c>
      <c r="L36">
        <v>57336605500</v>
      </c>
      <c r="M36">
        <v>264311593239</v>
      </c>
      <c r="N36">
        <v>455292956051</v>
      </c>
      <c r="O36">
        <v>331468189317</v>
      </c>
      <c r="P36">
        <v>12857748010102</v>
      </c>
      <c r="Q36">
        <v>1610638465658</v>
      </c>
      <c r="R36">
        <v>368809104237</v>
      </c>
      <c r="S36">
        <v>782992557256</v>
      </c>
      <c r="T36">
        <v>549730683751</v>
      </c>
      <c r="U36">
        <v>471070873928</v>
      </c>
      <c r="V36">
        <v>451417536651</v>
      </c>
      <c r="W36">
        <v>128547240758</v>
      </c>
      <c r="X36">
        <v>522951248681</v>
      </c>
      <c r="Y36">
        <v>997703831700</v>
      </c>
      <c r="Z36">
        <v>667829730761</v>
      </c>
      <c r="AA36">
        <v>34352275541448</v>
      </c>
      <c r="AB36">
        <v>3213808042564</v>
      </c>
      <c r="AC36">
        <v>787602575600</v>
      </c>
      <c r="AD36">
        <v>1554413152456</v>
      </c>
      <c r="AE36">
        <v>1251773912456</v>
      </c>
      <c r="AF36">
        <v>949080871433</v>
      </c>
      <c r="AG36">
        <v>908936367300</v>
      </c>
      <c r="AH36">
        <v>272015820996</v>
      </c>
    </row>
    <row r="37" spans="1:41">
      <c r="A37" t="s">
        <v>67</v>
      </c>
      <c r="B37">
        <v>122904427004</v>
      </c>
      <c r="C37">
        <v>13575761550</v>
      </c>
      <c r="D37">
        <v>148748410047</v>
      </c>
      <c r="E37">
        <v>34259536386</v>
      </c>
      <c r="F37">
        <v>372177054594</v>
      </c>
      <c r="G37">
        <v>47800859865</v>
      </c>
      <c r="H37">
        <v>77669483555</v>
      </c>
      <c r="I37">
        <v>35213679857</v>
      </c>
      <c r="J37">
        <v>26233057306</v>
      </c>
      <c r="K37">
        <v>122942849076</v>
      </c>
      <c r="L37">
        <v>44129070344</v>
      </c>
      <c r="M37">
        <v>286271801163</v>
      </c>
      <c r="N37">
        <v>26641880158</v>
      </c>
      <c r="O37">
        <v>366289880595</v>
      </c>
      <c r="P37">
        <v>67397099474</v>
      </c>
      <c r="Q37">
        <v>1642222720368</v>
      </c>
      <c r="R37">
        <v>133659109860</v>
      </c>
      <c r="S37">
        <v>172754994484</v>
      </c>
      <c r="T37">
        <v>74586084965</v>
      </c>
      <c r="U37">
        <v>120477738479</v>
      </c>
      <c r="V37">
        <v>353317955221</v>
      </c>
      <c r="W37">
        <v>88648670530</v>
      </c>
      <c r="X37">
        <v>652642736825</v>
      </c>
      <c r="Y37">
        <v>67547923291</v>
      </c>
      <c r="Z37">
        <v>801309693934</v>
      </c>
      <c r="AA37">
        <v>133608667821</v>
      </c>
      <c r="AB37">
        <v>5232640137298</v>
      </c>
      <c r="AC37">
        <v>396553633320</v>
      </c>
      <c r="AD37">
        <v>379403428342</v>
      </c>
      <c r="AE37">
        <v>267519752213</v>
      </c>
      <c r="AF37">
        <v>423803715525</v>
      </c>
      <c r="AG37">
        <v>1000145138580</v>
      </c>
      <c r="AH37">
        <v>191293500010</v>
      </c>
    </row>
    <row r="38" spans="1:41">
      <c r="B38">
        <f>B36/B37</f>
        <v>1.0457367917985334</v>
      </c>
      <c r="C38">
        <f t="shared" ref="C38:AH38" si="1">C36/C37</f>
        <v>14.619869841408638</v>
      </c>
      <c r="D38">
        <f t="shared" si="1"/>
        <v>1.0907688954573287</v>
      </c>
      <c r="E38">
        <f t="shared" si="1"/>
        <v>117.86534017302449</v>
      </c>
      <c r="F38">
        <f t="shared" si="1"/>
        <v>2.1366165573250244</v>
      </c>
      <c r="G38">
        <f t="shared" si="1"/>
        <v>3.728219332315561</v>
      </c>
      <c r="H38">
        <f t="shared" si="1"/>
        <v>4.0711390420033799</v>
      </c>
      <c r="I38">
        <f t="shared" si="1"/>
        <v>6.8151511284411797</v>
      </c>
      <c r="J38">
        <f t="shared" si="1"/>
        <v>8.8268074303348225</v>
      </c>
      <c r="K38">
        <f t="shared" si="1"/>
        <v>1.8183820515644873</v>
      </c>
      <c r="L38">
        <f t="shared" si="1"/>
        <v>1.2992933015140158</v>
      </c>
      <c r="M38">
        <f t="shared" si="1"/>
        <v>0.92328895883288165</v>
      </c>
      <c r="N38">
        <f t="shared" si="1"/>
        <v>17.089370320370765</v>
      </c>
      <c r="O38">
        <f t="shared" si="1"/>
        <v>0.90493406145581812</v>
      </c>
      <c r="P38">
        <f t="shared" si="1"/>
        <v>190.7759845816833</v>
      </c>
      <c r="Q38">
        <f t="shared" si="1"/>
        <v>0.98076737441379302</v>
      </c>
      <c r="R38">
        <f t="shared" si="1"/>
        <v>2.7593263536118542</v>
      </c>
      <c r="S38">
        <f t="shared" si="1"/>
        <v>4.5323873824586771</v>
      </c>
      <c r="T38">
        <f t="shared" si="1"/>
        <v>7.370418812154635</v>
      </c>
      <c r="U38">
        <f t="shared" si="1"/>
        <v>3.9100242075851259</v>
      </c>
      <c r="V38">
        <f t="shared" si="1"/>
        <v>1.277652409056423</v>
      </c>
      <c r="W38">
        <f t="shared" si="1"/>
        <v>1.450075223795914</v>
      </c>
      <c r="X38">
        <f t="shared" si="1"/>
        <v>0.80128256881409909</v>
      </c>
      <c r="Y38">
        <f t="shared" si="1"/>
        <v>14.770310959847567</v>
      </c>
      <c r="Z38">
        <f t="shared" si="1"/>
        <v>0.83342275254691467</v>
      </c>
      <c r="AA38">
        <f t="shared" si="1"/>
        <v>257.11112985177647</v>
      </c>
      <c r="AB38">
        <f t="shared" si="1"/>
        <v>0.61418480121652841</v>
      </c>
      <c r="AC38">
        <f t="shared" si="1"/>
        <v>1.9861186720345645</v>
      </c>
      <c r="AD38">
        <f t="shared" si="1"/>
        <v>4.0969929007990631</v>
      </c>
      <c r="AE38">
        <f t="shared" si="1"/>
        <v>4.6791831335853438</v>
      </c>
      <c r="AF38">
        <f t="shared" si="1"/>
        <v>2.239434994705737</v>
      </c>
      <c r="AG38">
        <f t="shared" si="1"/>
        <v>0.90880446471049425</v>
      </c>
      <c r="AH38">
        <f t="shared" si="1"/>
        <v>1.4219815152202253</v>
      </c>
      <c r="AI38">
        <f>GEOMEAN(B38:AH38)</f>
        <v>3.6214391781855837</v>
      </c>
    </row>
    <row r="39" spans="1:41">
      <c r="B39">
        <f>B37/B36</f>
        <v>0.95626357209841295</v>
      </c>
      <c r="C39">
        <f t="shared" ref="C39:AH39" si="2">C37/C36</f>
        <v>6.8400061754834957E-2</v>
      </c>
      <c r="D39">
        <f t="shared" si="2"/>
        <v>0.91678448493044729</v>
      </c>
      <c r="E39">
        <f t="shared" si="2"/>
        <v>8.4842583793676377E-3</v>
      </c>
      <c r="F39">
        <f t="shared" si="2"/>
        <v>0.46802969703275532</v>
      </c>
      <c r="G39">
        <f t="shared" si="2"/>
        <v>0.26822456268389921</v>
      </c>
      <c r="H39">
        <f t="shared" si="2"/>
        <v>0.24563150255558619</v>
      </c>
      <c r="I39">
        <f t="shared" si="2"/>
        <v>0.14673188916189575</v>
      </c>
      <c r="J39">
        <f t="shared" si="2"/>
        <v>0.11329124464223952</v>
      </c>
      <c r="K39">
        <f t="shared" si="2"/>
        <v>0.54993943607154872</v>
      </c>
      <c r="L39">
        <f t="shared" si="2"/>
        <v>0.76964916145934037</v>
      </c>
      <c r="M39">
        <f t="shared" si="2"/>
        <v>1.0830845429626796</v>
      </c>
      <c r="N39">
        <f t="shared" si="2"/>
        <v>5.8515906745141226E-2</v>
      </c>
      <c r="O39">
        <f t="shared" si="2"/>
        <v>1.1050528901423426</v>
      </c>
      <c r="P39">
        <f t="shared" si="2"/>
        <v>5.2417499099412929E-3</v>
      </c>
      <c r="Q39">
        <f t="shared" si="2"/>
        <v>1.0196097730083062</v>
      </c>
      <c r="R39">
        <f t="shared" si="2"/>
        <v>0.36240729505991121</v>
      </c>
      <c r="S39">
        <f t="shared" si="2"/>
        <v>0.22063427408482714</v>
      </c>
      <c r="T39">
        <f t="shared" si="2"/>
        <v>0.13567750021896849</v>
      </c>
      <c r="U39">
        <f t="shared" si="2"/>
        <v>0.25575289228646775</v>
      </c>
      <c r="V39">
        <f t="shared" si="2"/>
        <v>0.78268548856611486</v>
      </c>
      <c r="W39">
        <f t="shared" si="2"/>
        <v>0.68961939600779054</v>
      </c>
      <c r="X39">
        <f t="shared" si="2"/>
        <v>1.2479991939422861</v>
      </c>
      <c r="Y39">
        <f t="shared" si="2"/>
        <v>6.7703381649746944E-2</v>
      </c>
      <c r="Z39">
        <f t="shared" si="2"/>
        <v>1.1998712501476956</v>
      </c>
      <c r="AA39">
        <f t="shared" si="2"/>
        <v>3.8893687744147674E-3</v>
      </c>
      <c r="AB39">
        <f t="shared" si="2"/>
        <v>1.6281744485035767</v>
      </c>
      <c r="AC39">
        <f t="shared" si="2"/>
        <v>0.5034945867437054</v>
      </c>
      <c r="AD39">
        <f t="shared" si="2"/>
        <v>0.24408145784313259</v>
      </c>
      <c r="AE39">
        <f t="shared" si="2"/>
        <v>0.21371251593518359</v>
      </c>
      <c r="AF39">
        <f t="shared" si="2"/>
        <v>0.44654120452886847</v>
      </c>
      <c r="AG39">
        <f t="shared" si="2"/>
        <v>1.1003467069437831</v>
      </c>
      <c r="AH39">
        <f t="shared" si="2"/>
        <v>0.70324402201889935</v>
      </c>
      <c r="AI39">
        <f>GEOMEAN(B39:AH39)</f>
        <v>0.27613331352454767</v>
      </c>
    </row>
    <row r="40" spans="1:41">
      <c r="B40" t="s">
        <v>86</v>
      </c>
      <c r="C40" t="s">
        <v>87</v>
      </c>
      <c r="D40" t="s">
        <v>88</v>
      </c>
      <c r="E40" t="s">
        <v>89</v>
      </c>
      <c r="F40" t="s">
        <v>90</v>
      </c>
      <c r="G40" t="s">
        <v>91</v>
      </c>
      <c r="H40" t="s">
        <v>92</v>
      </c>
      <c r="I40" t="s">
        <v>93</v>
      </c>
      <c r="J40" t="s">
        <v>94</v>
      </c>
      <c r="K40" t="s">
        <v>95</v>
      </c>
      <c r="L40" t="s">
        <v>96</v>
      </c>
      <c r="M40" t="s">
        <v>97</v>
      </c>
      <c r="N40" t="s">
        <v>98</v>
      </c>
      <c r="O40" t="s">
        <v>99</v>
      </c>
      <c r="P40" t="s">
        <v>100</v>
      </c>
      <c r="Q40" t="s">
        <v>101</v>
      </c>
      <c r="R40" t="s">
        <v>102</v>
      </c>
      <c r="S40" t="s">
        <v>103</v>
      </c>
      <c r="T40" t="s">
        <v>104</v>
      </c>
      <c r="U40" t="s">
        <v>105</v>
      </c>
      <c r="V40" t="s">
        <v>106</v>
      </c>
      <c r="W40" t="s">
        <v>107</v>
      </c>
      <c r="X40" t="s">
        <v>108</v>
      </c>
      <c r="Y40" t="s">
        <v>109</v>
      </c>
      <c r="Z40" t="s">
        <v>110</v>
      </c>
      <c r="AA40" t="s">
        <v>111</v>
      </c>
      <c r="AB40" t="s">
        <v>112</v>
      </c>
      <c r="AC40" t="s">
        <v>113</v>
      </c>
      <c r="AD40" t="s">
        <v>114</v>
      </c>
      <c r="AE40" t="s">
        <v>115</v>
      </c>
      <c r="AF40" t="s">
        <v>116</v>
      </c>
      <c r="AG40" t="s">
        <v>117</v>
      </c>
      <c r="AH40" t="s">
        <v>118</v>
      </c>
      <c r="AI40" t="s">
        <v>119</v>
      </c>
      <c r="AJ40" t="s">
        <v>120</v>
      </c>
      <c r="AK40" t="s">
        <v>121</v>
      </c>
      <c r="AL40" t="s">
        <v>69</v>
      </c>
    </row>
    <row r="41" spans="1:41">
      <c r="B41">
        <v>0.95626357209841295</v>
      </c>
      <c r="C41">
        <v>6.8400061754834957E-2</v>
      </c>
      <c r="D41">
        <v>0.91678448493044729</v>
      </c>
      <c r="E41">
        <v>8.4842583793676377E-3</v>
      </c>
      <c r="F41">
        <v>0.46802969703275532</v>
      </c>
      <c r="G41">
        <v>0.26822456268389921</v>
      </c>
      <c r="H41">
        <v>0.24563150255558619</v>
      </c>
      <c r="I41">
        <v>0.14673188916189575</v>
      </c>
      <c r="J41">
        <v>0.11329124464223952</v>
      </c>
      <c r="K41">
        <v>0.54993943607154872</v>
      </c>
      <c r="L41">
        <v>0.76964916145934037</v>
      </c>
      <c r="M41">
        <v>1.0830845429626796</v>
      </c>
      <c r="N41">
        <v>5.8515906745141226E-2</v>
      </c>
      <c r="O41">
        <v>1.1050528901423426</v>
      </c>
      <c r="P41">
        <v>5.2417499099412929E-3</v>
      </c>
      <c r="Q41">
        <v>1.0196097730083062</v>
      </c>
      <c r="R41">
        <v>0.36240729505991121</v>
      </c>
      <c r="S41">
        <v>0.22063427408482714</v>
      </c>
      <c r="T41">
        <v>0.13567750021896849</v>
      </c>
      <c r="U41">
        <v>0.25575289228646775</v>
      </c>
      <c r="V41">
        <v>0.78268548856611486</v>
      </c>
      <c r="W41">
        <v>0.68961939600779054</v>
      </c>
      <c r="X41">
        <v>1.2479991939422861</v>
      </c>
      <c r="Y41">
        <v>6.7703381649746944E-2</v>
      </c>
      <c r="Z41">
        <v>1.1998712501476956</v>
      </c>
      <c r="AA41">
        <v>3.8893687744147674E-3</v>
      </c>
      <c r="AB41">
        <v>1.6281744485035767</v>
      </c>
      <c r="AC41">
        <v>0.5034945867437054</v>
      </c>
      <c r="AD41">
        <v>0.24408145784313259</v>
      </c>
      <c r="AE41">
        <v>0.21371251593518359</v>
      </c>
      <c r="AF41">
        <v>0.44654120452886847</v>
      </c>
      <c r="AG41">
        <v>1.1003467069437831</v>
      </c>
      <c r="AH41">
        <v>0.70324402201889935</v>
      </c>
      <c r="AI41">
        <f>GEOMEAN(B41:L41)</f>
        <v>0.23309681773738847</v>
      </c>
      <c r="AJ41">
        <f>GEOMEAN(M41:W41)</f>
        <v>0.27020485866943089</v>
      </c>
      <c r="AK41">
        <f>GEOMEAN(X41:AH41)</f>
        <v>0.33429271661173982</v>
      </c>
      <c r="AL41">
        <f>GEOMEAN(B41:AH41)</f>
        <v>0.27613331352454767</v>
      </c>
    </row>
    <row r="42" spans="1:41">
      <c r="B42">
        <f>1/B41</f>
        <v>1.0457367917985334</v>
      </c>
      <c r="C42">
        <f t="shared" ref="C42:AK42" si="3">1/C41</f>
        <v>14.619869841408638</v>
      </c>
      <c r="D42">
        <f t="shared" si="3"/>
        <v>1.0907688954573287</v>
      </c>
      <c r="E42">
        <f t="shared" si="3"/>
        <v>117.86534017302448</v>
      </c>
      <c r="F42">
        <f t="shared" si="3"/>
        <v>2.1366165573250249</v>
      </c>
      <c r="G42">
        <f t="shared" si="3"/>
        <v>3.7282193323155606</v>
      </c>
      <c r="H42">
        <f t="shared" si="3"/>
        <v>4.0711390420033799</v>
      </c>
      <c r="I42">
        <f t="shared" si="3"/>
        <v>6.8151511284411805</v>
      </c>
      <c r="J42">
        <f t="shared" si="3"/>
        <v>8.8268074303348225</v>
      </c>
      <c r="K42">
        <f t="shared" si="3"/>
        <v>1.8183820515644873</v>
      </c>
      <c r="L42">
        <f t="shared" si="3"/>
        <v>1.2992933015140156</v>
      </c>
      <c r="M42">
        <f t="shared" si="3"/>
        <v>0.92328895883288165</v>
      </c>
      <c r="N42">
        <f t="shared" si="3"/>
        <v>17.089370320370765</v>
      </c>
      <c r="O42">
        <f t="shared" si="3"/>
        <v>0.90493406145581801</v>
      </c>
      <c r="P42">
        <f t="shared" si="3"/>
        <v>190.7759845816833</v>
      </c>
      <c r="Q42">
        <f t="shared" si="3"/>
        <v>0.98076737441379302</v>
      </c>
      <c r="R42">
        <f t="shared" si="3"/>
        <v>2.7593263536118537</v>
      </c>
      <c r="S42">
        <f t="shared" si="3"/>
        <v>4.5323873824586771</v>
      </c>
      <c r="T42">
        <f t="shared" si="3"/>
        <v>7.370418812154635</v>
      </c>
      <c r="U42">
        <f t="shared" si="3"/>
        <v>3.9100242075851255</v>
      </c>
      <c r="V42">
        <f t="shared" si="3"/>
        <v>1.277652409056423</v>
      </c>
      <c r="W42">
        <f t="shared" si="3"/>
        <v>1.450075223795914</v>
      </c>
      <c r="X42">
        <f t="shared" si="3"/>
        <v>0.80128256881409909</v>
      </c>
      <c r="Y42">
        <f t="shared" si="3"/>
        <v>14.770310959847569</v>
      </c>
      <c r="Z42">
        <f t="shared" si="3"/>
        <v>0.83342275254691467</v>
      </c>
      <c r="AA42">
        <f t="shared" si="3"/>
        <v>257.11112985177647</v>
      </c>
      <c r="AB42">
        <f t="shared" si="3"/>
        <v>0.61418480121652841</v>
      </c>
      <c r="AC42">
        <f t="shared" si="3"/>
        <v>1.9861186720345645</v>
      </c>
      <c r="AD42">
        <f t="shared" si="3"/>
        <v>4.0969929007990631</v>
      </c>
      <c r="AE42">
        <f t="shared" si="3"/>
        <v>4.6791831335853438</v>
      </c>
      <c r="AF42">
        <f t="shared" si="3"/>
        <v>2.239434994705737</v>
      </c>
      <c r="AG42">
        <f t="shared" si="3"/>
        <v>0.90880446471049436</v>
      </c>
      <c r="AH42">
        <f t="shared" si="3"/>
        <v>1.4219815152202253</v>
      </c>
      <c r="AI42">
        <f t="shared" si="3"/>
        <v>4.2900628576003124</v>
      </c>
      <c r="AJ42">
        <f t="shared" si="3"/>
        <v>3.7008957015958095</v>
      </c>
      <c r="AK42">
        <f t="shared" si="3"/>
        <v>2.9913903304134437</v>
      </c>
      <c r="AL42">
        <f>GEOMEAN(B42:AK42)</f>
        <v>3.6214391781855837</v>
      </c>
    </row>
    <row r="44" spans="1:41">
      <c r="B44" t="s">
        <v>86</v>
      </c>
      <c r="C44" t="s">
        <v>87</v>
      </c>
      <c r="D44" t="s">
        <v>88</v>
      </c>
      <c r="E44" t="s">
        <v>89</v>
      </c>
      <c r="F44" t="s">
        <v>90</v>
      </c>
      <c r="G44" t="s">
        <v>91</v>
      </c>
      <c r="H44" t="s">
        <v>92</v>
      </c>
      <c r="I44" t="s">
        <v>93</v>
      </c>
      <c r="J44" t="s">
        <v>94</v>
      </c>
      <c r="K44" t="s">
        <v>95</v>
      </c>
      <c r="L44" t="s">
        <v>96</v>
      </c>
      <c r="M44" t="s">
        <v>97</v>
      </c>
      <c r="N44" t="s">
        <v>98</v>
      </c>
      <c r="O44" t="s">
        <v>99</v>
      </c>
      <c r="P44" t="s">
        <v>100</v>
      </c>
      <c r="Q44" t="s">
        <v>101</v>
      </c>
      <c r="R44" t="s">
        <v>102</v>
      </c>
      <c r="S44" t="s">
        <v>103</v>
      </c>
      <c r="T44" t="s">
        <v>104</v>
      </c>
      <c r="U44" t="s">
        <v>105</v>
      </c>
      <c r="V44" t="s">
        <v>106</v>
      </c>
      <c r="W44" t="s">
        <v>107</v>
      </c>
      <c r="X44" t="s">
        <v>108</v>
      </c>
      <c r="Y44" t="s">
        <v>109</v>
      </c>
      <c r="Z44" t="s">
        <v>110</v>
      </c>
      <c r="AA44" t="s">
        <v>111</v>
      </c>
      <c r="AB44" t="s">
        <v>112</v>
      </c>
      <c r="AC44" t="s">
        <v>113</v>
      </c>
      <c r="AD44" t="s">
        <v>114</v>
      </c>
      <c r="AE44" t="s">
        <v>115</v>
      </c>
      <c r="AF44" t="s">
        <v>116</v>
      </c>
      <c r="AG44" t="s">
        <v>117</v>
      </c>
      <c r="AH44" t="s">
        <v>118</v>
      </c>
      <c r="AI44" t="s">
        <v>119</v>
      </c>
      <c r="AJ44" t="s">
        <v>120</v>
      </c>
      <c r="AK44" t="s">
        <v>121</v>
      </c>
      <c r="AL44" t="s">
        <v>69</v>
      </c>
    </row>
    <row r="45" spans="1:41">
      <c r="B45">
        <v>1.0457367917985334</v>
      </c>
      <c r="C45">
        <v>14.619869841408638</v>
      </c>
      <c r="D45">
        <v>1.0907688954573287</v>
      </c>
      <c r="E45">
        <v>117.86534017302448</v>
      </c>
      <c r="F45">
        <v>2.1366165573250249</v>
      </c>
      <c r="G45">
        <v>3.7282193323155606</v>
      </c>
      <c r="H45">
        <v>4.0711390420033799</v>
      </c>
      <c r="I45">
        <v>6.8151511284411805</v>
      </c>
      <c r="J45">
        <v>8.8268074303348225</v>
      </c>
      <c r="K45">
        <v>1.8183820515644873</v>
      </c>
      <c r="L45">
        <v>1.2992933015140156</v>
      </c>
      <c r="M45">
        <v>0.92328895883288165</v>
      </c>
      <c r="N45">
        <v>17.089370320370765</v>
      </c>
      <c r="O45">
        <v>0.90493406145581801</v>
      </c>
      <c r="P45">
        <v>190.7759845816833</v>
      </c>
      <c r="Q45">
        <v>0.98076737441379302</v>
      </c>
      <c r="R45">
        <v>2.7593263536118537</v>
      </c>
      <c r="S45">
        <v>4.5323873824586771</v>
      </c>
      <c r="T45">
        <v>7.370418812154635</v>
      </c>
      <c r="U45">
        <v>3.9100242075851255</v>
      </c>
      <c r="V45">
        <v>1.277652409056423</v>
      </c>
      <c r="W45">
        <v>1.450075223795914</v>
      </c>
      <c r="X45">
        <v>0.80128256881409909</v>
      </c>
      <c r="Y45">
        <v>14.770310959847569</v>
      </c>
      <c r="Z45">
        <v>0.83342275254691467</v>
      </c>
      <c r="AA45">
        <v>257.11112985177647</v>
      </c>
      <c r="AB45">
        <v>0.61418480121652841</v>
      </c>
      <c r="AC45">
        <v>1.9861186720345645</v>
      </c>
      <c r="AD45">
        <v>4.0969929007990631</v>
      </c>
      <c r="AE45">
        <v>4.6791831335853438</v>
      </c>
      <c r="AF45">
        <v>2.239434994705737</v>
      </c>
      <c r="AG45">
        <v>0.90880446471049436</v>
      </c>
      <c r="AH45">
        <v>1.4219815152202253</v>
      </c>
      <c r="AI45">
        <v>4.2900628576003124</v>
      </c>
      <c r="AJ45">
        <v>3.7008957015958095</v>
      </c>
      <c r="AK45">
        <v>2.9913903304134437</v>
      </c>
      <c r="AL45">
        <v>3.6214391781855837</v>
      </c>
    </row>
    <row r="46" spans="1:41">
      <c r="B46">
        <f>LOG(B45,2)</f>
        <v>6.4519776105692497E-2</v>
      </c>
      <c r="C46">
        <f t="shared" ref="C46:AL46" si="4">LOG(C45,2)</f>
        <v>3.8698585621291377</v>
      </c>
      <c r="D46">
        <f t="shared" si="4"/>
        <v>0.1253454658266891</v>
      </c>
      <c r="E46">
        <f t="shared" si="4"/>
        <v>6.880995727330129</v>
      </c>
      <c r="F46">
        <f t="shared" si="4"/>
        <v>1.0953280214833556</v>
      </c>
      <c r="G46">
        <f t="shared" si="4"/>
        <v>1.8984867366917522</v>
      </c>
      <c r="H46">
        <f t="shared" si="4"/>
        <v>2.0254324948218776</v>
      </c>
      <c r="I46">
        <f t="shared" si="4"/>
        <v>2.7687456496695368</v>
      </c>
      <c r="J46">
        <f t="shared" si="4"/>
        <v>3.14189172357267</v>
      </c>
      <c r="K46">
        <f t="shared" si="4"/>
        <v>0.86265534914152853</v>
      </c>
      <c r="L46">
        <f t="shared" si="4"/>
        <v>0.37772714046707312</v>
      </c>
      <c r="M46">
        <f t="shared" si="4"/>
        <v>-0.11514586063095447</v>
      </c>
      <c r="N46">
        <f t="shared" si="4"/>
        <v>4.0950273349432829</v>
      </c>
      <c r="O46">
        <f t="shared" si="4"/>
        <v>-0.14411542167100344</v>
      </c>
      <c r="P46">
        <f t="shared" si="4"/>
        <v>7.5757357620324841</v>
      </c>
      <c r="Q46">
        <f t="shared" si="4"/>
        <v>-2.8017106839803883E-2</v>
      </c>
      <c r="R46">
        <f t="shared" si="4"/>
        <v>1.4643160985516981</v>
      </c>
      <c r="S46">
        <f t="shared" si="4"/>
        <v>2.1802711733534665</v>
      </c>
      <c r="T46">
        <f t="shared" si="4"/>
        <v>2.8817466004670709</v>
      </c>
      <c r="U46">
        <f t="shared" si="4"/>
        <v>1.9671775395159783</v>
      </c>
      <c r="V46">
        <f t="shared" si="4"/>
        <v>0.35349539814905484</v>
      </c>
      <c r="W46">
        <f t="shared" si="4"/>
        <v>0.53612774312459832</v>
      </c>
      <c r="X46">
        <f t="shared" si="4"/>
        <v>-0.3196170023925955</v>
      </c>
      <c r="Y46">
        <f t="shared" si="4"/>
        <v>3.8846282944164399</v>
      </c>
      <c r="Z46">
        <f t="shared" si="4"/>
        <v>-0.26287960855156328</v>
      </c>
      <c r="AA46">
        <f t="shared" si="4"/>
        <v>8.0062482528222976</v>
      </c>
      <c r="AB46">
        <f t="shared" si="4"/>
        <v>-0.70325528345414823</v>
      </c>
      <c r="AC46">
        <f t="shared" si="4"/>
        <v>0.98995182751924182</v>
      </c>
      <c r="AD46">
        <f t="shared" si="4"/>
        <v>2.0345653929424854</v>
      </c>
      <c r="AE46">
        <f t="shared" si="4"/>
        <v>2.2262566939141015</v>
      </c>
      <c r="AF46">
        <f t="shared" si="4"/>
        <v>1.1631347889099337</v>
      </c>
      <c r="AG46">
        <f t="shared" si="4"/>
        <v>-0.13795817245688527</v>
      </c>
      <c r="AH46">
        <f t="shared" si="4"/>
        <v>0.50790271103788787</v>
      </c>
      <c r="AI46">
        <f t="shared" si="4"/>
        <v>2.1009987861126764</v>
      </c>
      <c r="AJ46">
        <f t="shared" si="4"/>
        <v>1.887874478272352</v>
      </c>
      <c r="AK46">
        <f t="shared" si="4"/>
        <v>1.5808161722461089</v>
      </c>
      <c r="AL46">
        <f t="shared" si="4"/>
        <v>1.8565631455437124</v>
      </c>
    </row>
    <row r="65" spans="2:38">
      <c r="B65" t="s">
        <v>86</v>
      </c>
      <c r="C65" t="s">
        <v>87</v>
      </c>
      <c r="D65" t="s">
        <v>88</v>
      </c>
      <c r="E65" t="s">
        <v>89</v>
      </c>
      <c r="F65" t="s">
        <v>91</v>
      </c>
      <c r="G65" t="s">
        <v>92</v>
      </c>
      <c r="H65" t="s">
        <v>93</v>
      </c>
      <c r="I65" t="s">
        <v>94</v>
      </c>
      <c r="J65" t="s">
        <v>95</v>
      </c>
      <c r="K65" t="s">
        <v>96</v>
      </c>
      <c r="M65" t="s">
        <v>97</v>
      </c>
      <c r="N65" t="s">
        <v>98</v>
      </c>
      <c r="O65" t="s">
        <v>99</v>
      </c>
      <c r="P65" t="s">
        <v>100</v>
      </c>
      <c r="Q65" t="s">
        <v>102</v>
      </c>
      <c r="R65" t="s">
        <v>103</v>
      </c>
      <c r="S65" t="s">
        <v>104</v>
      </c>
      <c r="T65" t="s">
        <v>105</v>
      </c>
      <c r="U65" t="s">
        <v>106</v>
      </c>
      <c r="V65" t="s">
        <v>107</v>
      </c>
      <c r="X65" t="s">
        <v>108</v>
      </c>
      <c r="Y65" t="s">
        <v>109</v>
      </c>
      <c r="Z65" t="s">
        <v>110</v>
      </c>
      <c r="AA65" t="s">
        <v>111</v>
      </c>
      <c r="AB65" t="s">
        <v>113</v>
      </c>
      <c r="AC65" t="s">
        <v>114</v>
      </c>
      <c r="AD65" t="s">
        <v>115</v>
      </c>
      <c r="AE65" t="s">
        <v>116</v>
      </c>
      <c r="AF65" t="s">
        <v>117</v>
      </c>
      <c r="AG65" t="s">
        <v>118</v>
      </c>
      <c r="AI65" t="s">
        <v>119</v>
      </c>
      <c r="AJ65" t="s">
        <v>120</v>
      </c>
      <c r="AK65" t="s">
        <v>121</v>
      </c>
      <c r="AL65" t="s">
        <v>69</v>
      </c>
    </row>
    <row r="66" spans="2:38">
      <c r="B66">
        <v>1.0457367917985334</v>
      </c>
      <c r="C66">
        <v>14.619869841408638</v>
      </c>
      <c r="D66">
        <v>1.0907688954573287</v>
      </c>
      <c r="E66">
        <v>117.86534017302448</v>
      </c>
      <c r="F66">
        <v>3.7282193323155606</v>
      </c>
      <c r="G66">
        <v>4.0711390420033799</v>
      </c>
      <c r="H66">
        <v>6.8151511284411805</v>
      </c>
      <c r="I66">
        <v>8.8268074303348225</v>
      </c>
      <c r="J66">
        <v>1.8183820515644873</v>
      </c>
      <c r="K66">
        <v>1.2992933015140156</v>
      </c>
      <c r="M66">
        <v>0.92328895883288165</v>
      </c>
      <c r="N66">
        <v>17.089370320370765</v>
      </c>
      <c r="O66">
        <v>0.90493406145581801</v>
      </c>
      <c r="P66">
        <v>190.7759845816833</v>
      </c>
      <c r="Q66">
        <v>2.7593263536118537</v>
      </c>
      <c r="R66">
        <v>4.5323873824586771</v>
      </c>
      <c r="S66">
        <v>7.370418812154635</v>
      </c>
      <c r="T66">
        <v>3.9100242075851255</v>
      </c>
      <c r="U66">
        <v>1.277652409056423</v>
      </c>
      <c r="V66">
        <v>1.450075223795914</v>
      </c>
      <c r="X66">
        <v>0.80128256881409909</v>
      </c>
      <c r="Y66">
        <v>14.770310959847569</v>
      </c>
      <c r="Z66">
        <v>0.83342275254691467</v>
      </c>
      <c r="AA66">
        <v>257.11112985177647</v>
      </c>
      <c r="AB66">
        <v>1.9861186720345645</v>
      </c>
      <c r="AC66">
        <v>4.0969929007990631</v>
      </c>
      <c r="AD66">
        <v>4.6791831335853438</v>
      </c>
      <c r="AE66">
        <v>2.239434994705737</v>
      </c>
      <c r="AF66">
        <v>0.90880446471049436</v>
      </c>
      <c r="AG66">
        <v>1.4219815152202253</v>
      </c>
      <c r="AI66">
        <f>GEOMEAN(B66:K66)</f>
        <v>4.5997831931542077</v>
      </c>
      <c r="AJ66">
        <f>GEOMEAN(M66:V66)</f>
        <v>4.2265005474442718</v>
      </c>
      <c r="AK66">
        <f>GEOMEAN(X66:AG66)</f>
        <v>3.5045356927759368</v>
      </c>
      <c r="AL66">
        <f>GEOMEAN(B66:AG66)</f>
        <v>4.0842870720190616</v>
      </c>
    </row>
    <row r="67" spans="2:38">
      <c r="B67">
        <f>LOG(B66,2)</f>
        <v>6.4519776105692497E-2</v>
      </c>
      <c r="C67">
        <f t="shared" ref="C67:AL67" si="5">LOG(C66,2)</f>
        <v>3.8698585621291377</v>
      </c>
      <c r="D67">
        <f t="shared" si="5"/>
        <v>0.1253454658266891</v>
      </c>
      <c r="E67">
        <f t="shared" si="5"/>
        <v>6.880995727330129</v>
      </c>
      <c r="F67">
        <f t="shared" si="5"/>
        <v>1.8984867366917522</v>
      </c>
      <c r="G67">
        <f t="shared" si="5"/>
        <v>2.0254324948218776</v>
      </c>
      <c r="H67">
        <f t="shared" si="5"/>
        <v>2.7687456496695368</v>
      </c>
      <c r="I67">
        <f t="shared" si="5"/>
        <v>3.14189172357267</v>
      </c>
      <c r="J67">
        <f t="shared" si="5"/>
        <v>0.86265534914152853</v>
      </c>
      <c r="K67">
        <f t="shared" si="5"/>
        <v>0.37772714046707312</v>
      </c>
      <c r="M67">
        <f t="shared" si="5"/>
        <v>-0.11514586063095447</v>
      </c>
      <c r="N67">
        <f t="shared" si="5"/>
        <v>4.0950273349432829</v>
      </c>
      <c r="O67">
        <f t="shared" si="5"/>
        <v>-0.14411542167100344</v>
      </c>
      <c r="P67">
        <f t="shared" si="5"/>
        <v>7.5757357620324841</v>
      </c>
      <c r="Q67">
        <f t="shared" si="5"/>
        <v>1.4643160985516981</v>
      </c>
      <c r="R67">
        <f t="shared" si="5"/>
        <v>2.1802711733534665</v>
      </c>
      <c r="S67">
        <f t="shared" si="5"/>
        <v>2.8817466004670709</v>
      </c>
      <c r="T67">
        <f t="shared" si="5"/>
        <v>1.9671775395159783</v>
      </c>
      <c r="U67">
        <f t="shared" si="5"/>
        <v>0.35349539814905484</v>
      </c>
      <c r="V67">
        <f t="shared" si="5"/>
        <v>0.53612774312459832</v>
      </c>
      <c r="X67">
        <f t="shared" si="5"/>
        <v>-0.3196170023925955</v>
      </c>
      <c r="Y67">
        <f t="shared" si="5"/>
        <v>3.8846282944164399</v>
      </c>
      <c r="Z67">
        <f t="shared" si="5"/>
        <v>-0.26287960855156328</v>
      </c>
      <c r="AA67">
        <f t="shared" si="5"/>
        <v>8.0062482528222976</v>
      </c>
      <c r="AB67">
        <f t="shared" si="5"/>
        <v>0.98995182751924182</v>
      </c>
      <c r="AC67">
        <f t="shared" si="5"/>
        <v>2.0345653929424854</v>
      </c>
      <c r="AD67">
        <f t="shared" si="5"/>
        <v>2.2262566939141015</v>
      </c>
      <c r="AE67">
        <f t="shared" si="5"/>
        <v>1.1631347889099337</v>
      </c>
      <c r="AF67">
        <f t="shared" si="5"/>
        <v>-0.13795817245688527</v>
      </c>
      <c r="AG67">
        <f t="shared" si="5"/>
        <v>0.50790271103788787</v>
      </c>
      <c r="AI67">
        <f t="shared" si="5"/>
        <v>2.2015658625756087</v>
      </c>
      <c r="AJ67">
        <f t="shared" si="5"/>
        <v>2.0794636367835673</v>
      </c>
      <c r="AK67">
        <f t="shared" si="5"/>
        <v>1.8092233178161343</v>
      </c>
      <c r="AL67">
        <f t="shared" si="5"/>
        <v>2.03008427239177</v>
      </c>
    </row>
    <row r="69" spans="2:38">
      <c r="B69" s="2" t="s">
        <v>188</v>
      </c>
      <c r="C69" s="2"/>
      <c r="D69" s="2"/>
      <c r="E69" s="2"/>
      <c r="F69" s="2"/>
      <c r="G69" s="2"/>
      <c r="H69" s="2"/>
      <c r="I69" s="2"/>
      <c r="J69" s="2"/>
      <c r="K69" s="2"/>
      <c r="L69" s="2" t="s">
        <v>189</v>
      </c>
      <c r="M69" s="2"/>
      <c r="N69" s="2"/>
      <c r="O69" s="2"/>
      <c r="P69" s="2"/>
      <c r="Q69" s="2"/>
      <c r="R69" s="2"/>
      <c r="S69" s="2"/>
      <c r="T69" s="2"/>
      <c r="U69" s="2"/>
      <c r="V69" s="2" t="s">
        <v>190</v>
      </c>
      <c r="W69" s="2"/>
      <c r="X69" s="2"/>
      <c r="Y69" s="2"/>
      <c r="Z69" s="2"/>
      <c r="AA69" s="2"/>
      <c r="AB69" s="2"/>
      <c r="AC69" s="2"/>
      <c r="AD69" s="2"/>
      <c r="AE69" s="2"/>
      <c r="AF69" t="s">
        <v>193</v>
      </c>
      <c r="AG69" t="s">
        <v>194</v>
      </c>
      <c r="AH69" t="s">
        <v>195</v>
      </c>
      <c r="AI69" t="s">
        <v>191</v>
      </c>
    </row>
    <row r="70" spans="2:38">
      <c r="B70" t="s">
        <v>71</v>
      </c>
      <c r="C70" t="s">
        <v>72</v>
      </c>
      <c r="D70" t="s">
        <v>73</v>
      </c>
      <c r="E70" t="s">
        <v>74</v>
      </c>
      <c r="F70" t="s">
        <v>76</v>
      </c>
      <c r="G70" t="s">
        <v>77</v>
      </c>
      <c r="H70" t="s">
        <v>78</v>
      </c>
      <c r="I70" t="s">
        <v>79</v>
      </c>
      <c r="J70" t="s">
        <v>80</v>
      </c>
      <c r="K70" t="s">
        <v>81</v>
      </c>
      <c r="L70" t="s">
        <v>71</v>
      </c>
      <c r="M70" t="s">
        <v>72</v>
      </c>
      <c r="N70" t="s">
        <v>73</v>
      </c>
      <c r="O70" t="s">
        <v>74</v>
      </c>
      <c r="P70" t="s">
        <v>76</v>
      </c>
      <c r="Q70" t="s">
        <v>77</v>
      </c>
      <c r="R70" t="s">
        <v>78</v>
      </c>
      <c r="S70" t="s">
        <v>79</v>
      </c>
      <c r="T70" t="s">
        <v>80</v>
      </c>
      <c r="U70" t="s">
        <v>81</v>
      </c>
      <c r="V70" t="s">
        <v>71</v>
      </c>
      <c r="W70" t="s">
        <v>72</v>
      </c>
      <c r="X70" t="s">
        <v>73</v>
      </c>
      <c r="Y70" t="s">
        <v>74</v>
      </c>
      <c r="Z70" t="s">
        <v>76</v>
      </c>
      <c r="AA70" t="s">
        <v>77</v>
      </c>
      <c r="AB70" t="s">
        <v>78</v>
      </c>
      <c r="AC70" t="s">
        <v>79</v>
      </c>
      <c r="AD70" t="s">
        <v>80</v>
      </c>
      <c r="AE70" t="s">
        <v>81</v>
      </c>
      <c r="AF70" t="s">
        <v>192</v>
      </c>
      <c r="AG70" t="s">
        <v>192</v>
      </c>
      <c r="AH70" t="s">
        <v>192</v>
      </c>
      <c r="AI70" t="s">
        <v>192</v>
      </c>
    </row>
    <row r="71" spans="2:38">
      <c r="B71">
        <v>1.0457367917985334</v>
      </c>
      <c r="C71">
        <v>14.619869841408638</v>
      </c>
      <c r="D71">
        <v>1.0907688954573287</v>
      </c>
      <c r="E71">
        <v>117.86534017302448</v>
      </c>
      <c r="F71">
        <v>3.7282193323155606</v>
      </c>
      <c r="G71">
        <v>4.0711390420033799</v>
      </c>
      <c r="H71">
        <v>6.8151511284411805</v>
      </c>
      <c r="I71">
        <v>8.8268074303348225</v>
      </c>
      <c r="J71">
        <v>1.8183820515644873</v>
      </c>
      <c r="K71">
        <v>1.2992933015140156</v>
      </c>
      <c r="L71">
        <v>0.92328895883288165</v>
      </c>
      <c r="M71">
        <v>17.089370320370765</v>
      </c>
      <c r="N71">
        <v>0.90493406145581801</v>
      </c>
      <c r="O71">
        <v>190.7759845816833</v>
      </c>
      <c r="P71">
        <v>2.7593263536118537</v>
      </c>
      <c r="Q71">
        <v>4.5323873824586771</v>
      </c>
      <c r="R71">
        <v>7.370418812154635</v>
      </c>
      <c r="S71">
        <v>3.9100242075851255</v>
      </c>
      <c r="T71">
        <v>1.277652409056423</v>
      </c>
      <c r="U71">
        <v>1.450075223795914</v>
      </c>
      <c r="V71">
        <v>0.80128256881409909</v>
      </c>
      <c r="W71">
        <v>14.770310959847569</v>
      </c>
      <c r="X71">
        <v>0.83342275254691467</v>
      </c>
      <c r="Y71">
        <v>257.11112985177647</v>
      </c>
      <c r="Z71">
        <v>1.9861186720345645</v>
      </c>
      <c r="AA71">
        <v>4.0969929007990631</v>
      </c>
      <c r="AB71">
        <v>4.6791831335853438</v>
      </c>
      <c r="AC71">
        <v>2.239434994705737</v>
      </c>
      <c r="AD71">
        <v>0.90880446471049436</v>
      </c>
      <c r="AE71">
        <v>1.4219815152202253</v>
      </c>
      <c r="AF71">
        <f>GEOMEAN(B71:K71)</f>
        <v>4.5997831931542077</v>
      </c>
      <c r="AG71">
        <f>GEOMEAN(L71:U71)</f>
        <v>4.2265005474442718</v>
      </c>
      <c r="AH71">
        <f>GEOMEAN(V71:AE71)</f>
        <v>3.5045356927759368</v>
      </c>
      <c r="AI71">
        <f>GEOMEAN(B71:AE71)</f>
        <v>4.0842870720190616</v>
      </c>
    </row>
  </sheetData>
  <dataConsolidate/>
  <mergeCells count="3">
    <mergeCell ref="B69:K69"/>
    <mergeCell ref="L69:U69"/>
    <mergeCell ref="V69:AE69"/>
  </mergeCells>
  <phoneticPr fontId="1" type="noConversion"/>
  <pageMargins left="0.7" right="0.7" top="0.75" bottom="0.75" header="0.3" footer="0.3"/>
  <pageSetup paperSize="1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4D8C-2E66-4946-B922-1710A2E320ED}">
  <dimension ref="A1:T37"/>
  <sheetViews>
    <sheetView topLeftCell="B1" workbookViewId="0">
      <selection activeCell="V7" sqref="V7"/>
    </sheetView>
  </sheetViews>
  <sheetFormatPr defaultRowHeight="14.25"/>
  <cols>
    <col min="1" max="1" width="39.125" customWidth="1"/>
    <col min="2" max="2" width="19.375" customWidth="1"/>
  </cols>
  <sheetData>
    <row r="1" spans="1:20">
      <c r="A1" s="1" t="s">
        <v>155</v>
      </c>
      <c r="B1">
        <v>211787277537</v>
      </c>
      <c r="D1">
        <v>128525681193</v>
      </c>
      <c r="E1">
        <f>D1/B1</f>
        <v>0.60686214340965827</v>
      </c>
      <c r="F1">
        <v>122904427004</v>
      </c>
      <c r="G1">
        <f>F1/B1</f>
        <v>0.58032016102821926</v>
      </c>
      <c r="I1" s="2" t="s">
        <v>198</v>
      </c>
      <c r="J1" t="s">
        <v>71</v>
      </c>
      <c r="K1">
        <v>1</v>
      </c>
      <c r="L1">
        <v>0.60686214340965827</v>
      </c>
      <c r="M1">
        <v>0.58032016102821926</v>
      </c>
      <c r="P1" s="2" t="s">
        <v>198</v>
      </c>
      <c r="Q1" t="s">
        <v>71</v>
      </c>
      <c r="S1">
        <f t="shared" ref="S1:S30" si="0">1/L1</f>
        <v>1.6478206967755387</v>
      </c>
      <c r="T1">
        <f t="shared" ref="T1:T30" si="1">1/M1</f>
        <v>1.7231867289052758</v>
      </c>
    </row>
    <row r="2" spans="1:20">
      <c r="A2" s="1" t="s">
        <v>156</v>
      </c>
      <c r="B2">
        <v>110188385639</v>
      </c>
      <c r="D2">
        <v>198475866859</v>
      </c>
      <c r="E2">
        <f t="shared" ref="E2:E33" si="2">D2/B2</f>
        <v>1.8012412624797689</v>
      </c>
      <c r="F2">
        <v>13575761550</v>
      </c>
      <c r="G2">
        <f t="shared" ref="G2:G33" si="3">F2/B2</f>
        <v>0.12320501358897307</v>
      </c>
      <c r="I2" s="2"/>
      <c r="J2" t="s">
        <v>72</v>
      </c>
      <c r="K2">
        <v>1</v>
      </c>
      <c r="L2">
        <v>1.8012412624797689</v>
      </c>
      <c r="M2">
        <v>0.12320501358897307</v>
      </c>
      <c r="P2" s="2"/>
      <c r="Q2" t="s">
        <v>72</v>
      </c>
      <c r="S2">
        <f t="shared" si="0"/>
        <v>0.55517271385583289</v>
      </c>
      <c r="T2">
        <f t="shared" si="1"/>
        <v>8.1165528160738791</v>
      </c>
    </row>
    <row r="3" spans="1:20">
      <c r="A3" s="1" t="s">
        <v>157</v>
      </c>
      <c r="B3">
        <v>599353843769</v>
      </c>
      <c r="D3">
        <v>162250138928</v>
      </c>
      <c r="E3">
        <f t="shared" si="2"/>
        <v>0.2707084314462721</v>
      </c>
      <c r="F3">
        <v>148748410047</v>
      </c>
      <c r="G3">
        <f t="shared" si="3"/>
        <v>0.24818128988979984</v>
      </c>
      <c r="I3" s="2"/>
      <c r="J3" t="s">
        <v>73</v>
      </c>
      <c r="K3">
        <v>1</v>
      </c>
      <c r="L3">
        <v>0.2707084314462721</v>
      </c>
      <c r="M3">
        <v>0.24818128988979984</v>
      </c>
      <c r="P3" s="2"/>
      <c r="Q3" t="s">
        <v>73</v>
      </c>
      <c r="S3">
        <f t="shared" si="0"/>
        <v>3.6940112823876765</v>
      </c>
      <c r="T3">
        <f t="shared" si="1"/>
        <v>4.0293126062969167</v>
      </c>
    </row>
    <row r="4" spans="1:20">
      <c r="A4" s="1" t="s">
        <v>158</v>
      </c>
      <c r="B4">
        <v>759090052061</v>
      </c>
      <c r="D4">
        <v>4038011910306</v>
      </c>
      <c r="E4">
        <f t="shared" si="2"/>
        <v>5.3195426541849979</v>
      </c>
      <c r="F4">
        <v>34259536386</v>
      </c>
      <c r="G4">
        <f t="shared" si="3"/>
        <v>4.5132374338172625E-2</v>
      </c>
      <c r="I4" s="2"/>
      <c r="J4" t="s">
        <v>74</v>
      </c>
      <c r="K4">
        <v>1</v>
      </c>
      <c r="L4">
        <v>5.3195426541849979</v>
      </c>
      <c r="M4">
        <v>4.5132374338172625E-2</v>
      </c>
      <c r="P4" s="2"/>
      <c r="Q4" t="s">
        <v>74</v>
      </c>
      <c r="S4">
        <f t="shared" si="0"/>
        <v>0.18798608546042556</v>
      </c>
      <c r="T4">
        <f t="shared" si="1"/>
        <v>22.157043910588314</v>
      </c>
    </row>
    <row r="5" spans="1:20">
      <c r="I5" s="2"/>
      <c r="J5" t="s">
        <v>199</v>
      </c>
      <c r="K5">
        <v>1</v>
      </c>
      <c r="L5">
        <v>0.30356555071236735</v>
      </c>
      <c r="M5">
        <v>8.1423737085721745E-2</v>
      </c>
      <c r="P5" s="2"/>
      <c r="Q5" t="s">
        <v>199</v>
      </c>
      <c r="S5">
        <f t="shared" si="0"/>
        <v>3.2941814301831438</v>
      </c>
      <c r="T5">
        <f t="shared" si="1"/>
        <v>12.281430892163723</v>
      </c>
    </row>
    <row r="6" spans="1:20">
      <c r="A6" s="1" t="s">
        <v>160</v>
      </c>
      <c r="B6">
        <v>587062957018</v>
      </c>
      <c r="D6">
        <v>178212089850</v>
      </c>
      <c r="E6">
        <f t="shared" si="2"/>
        <v>0.30356555071236735</v>
      </c>
      <c r="F6">
        <v>47800859865</v>
      </c>
      <c r="G6">
        <f t="shared" si="3"/>
        <v>8.1423737085721745E-2</v>
      </c>
      <c r="I6" s="2"/>
      <c r="J6" t="s">
        <v>77</v>
      </c>
      <c r="K6">
        <v>1</v>
      </c>
      <c r="L6">
        <v>1.0579249629994416</v>
      </c>
      <c r="M6">
        <v>0.25985969825261573</v>
      </c>
      <c r="P6" s="2"/>
      <c r="Q6" t="s">
        <v>77</v>
      </c>
      <c r="S6">
        <f t="shared" si="0"/>
        <v>0.94524662426415196</v>
      </c>
      <c r="T6">
        <f t="shared" si="1"/>
        <v>3.8482304363636892</v>
      </c>
    </row>
    <row r="7" spans="1:20">
      <c r="A7" s="1" t="s">
        <v>161</v>
      </c>
      <c r="B7">
        <v>298890070593</v>
      </c>
      <c r="D7">
        <v>316203266873</v>
      </c>
      <c r="E7">
        <f t="shared" si="2"/>
        <v>1.0579249629994416</v>
      </c>
      <c r="F7">
        <v>77669483555</v>
      </c>
      <c r="G7">
        <f t="shared" si="3"/>
        <v>0.25985969825261573</v>
      </c>
      <c r="I7" s="2"/>
      <c r="J7" t="s">
        <v>78</v>
      </c>
      <c r="K7">
        <v>1</v>
      </c>
      <c r="L7">
        <v>0.44741151297930348</v>
      </c>
      <c r="M7">
        <v>6.564953653223525E-2</v>
      </c>
      <c r="P7" s="2"/>
      <c r="Q7" t="s">
        <v>78</v>
      </c>
      <c r="S7">
        <f t="shared" si="0"/>
        <v>2.2350788278580982</v>
      </c>
      <c r="T7">
        <f t="shared" si="1"/>
        <v>15.232399995832107</v>
      </c>
    </row>
    <row r="8" spans="1:20">
      <c r="A8" s="1" t="s">
        <v>162</v>
      </c>
      <c r="B8">
        <v>536388856907</v>
      </c>
      <c r="D8">
        <v>239986550014</v>
      </c>
      <c r="E8">
        <f t="shared" si="2"/>
        <v>0.44741151297930348</v>
      </c>
      <c r="F8">
        <v>35213679857</v>
      </c>
      <c r="G8">
        <f t="shared" si="3"/>
        <v>6.564953653223525E-2</v>
      </c>
      <c r="I8" s="2"/>
      <c r="J8" t="s">
        <v>79</v>
      </c>
      <c r="K8">
        <v>1</v>
      </c>
      <c r="L8">
        <v>0.63643484968799036</v>
      </c>
      <c r="M8">
        <v>7.2102496254849061E-2</v>
      </c>
      <c r="P8" s="2"/>
      <c r="Q8" t="s">
        <v>79</v>
      </c>
      <c r="S8">
        <f t="shared" si="0"/>
        <v>1.571252737794365</v>
      </c>
      <c r="T8">
        <f t="shared" si="1"/>
        <v>13.869145340897232</v>
      </c>
    </row>
    <row r="9" spans="1:20">
      <c r="A9" s="1" t="s">
        <v>163</v>
      </c>
      <c r="B9">
        <v>363830084513</v>
      </c>
      <c r="D9">
        <v>231554145149</v>
      </c>
      <c r="E9">
        <f t="shared" si="2"/>
        <v>0.63643484968799036</v>
      </c>
      <c r="F9">
        <v>26233057306</v>
      </c>
      <c r="G9">
        <f t="shared" si="3"/>
        <v>7.2102496254849061E-2</v>
      </c>
      <c r="I9" s="2"/>
      <c r="J9" t="s">
        <v>80</v>
      </c>
      <c r="K9">
        <v>1</v>
      </c>
      <c r="L9">
        <v>0.2484769681016106</v>
      </c>
      <c r="M9">
        <v>0.13664728371456794</v>
      </c>
      <c r="P9" s="2"/>
      <c r="Q9" t="s">
        <v>80</v>
      </c>
      <c r="S9">
        <f t="shared" si="0"/>
        <v>4.0245178764056169</v>
      </c>
      <c r="T9">
        <f t="shared" si="1"/>
        <v>7.3181110726563983</v>
      </c>
    </row>
    <row r="10" spans="1:20">
      <c r="A10" s="1" t="s">
        <v>164</v>
      </c>
      <c r="B10">
        <v>899709425127</v>
      </c>
      <c r="D10">
        <v>223557070128</v>
      </c>
      <c r="E10">
        <f t="shared" si="2"/>
        <v>0.2484769681016106</v>
      </c>
      <c r="F10">
        <v>122942849076</v>
      </c>
      <c r="G10">
        <f t="shared" si="3"/>
        <v>0.13664728371456794</v>
      </c>
      <c r="I10" s="2"/>
      <c r="J10" t="s">
        <v>81</v>
      </c>
      <c r="K10">
        <v>1</v>
      </c>
      <c r="L10">
        <v>0.28371229484245852</v>
      </c>
      <c r="M10">
        <v>0.21835892982120333</v>
      </c>
      <c r="P10" s="2"/>
      <c r="Q10" t="s">
        <v>81</v>
      </c>
      <c r="S10">
        <f t="shared" si="0"/>
        <v>3.5246974423695177</v>
      </c>
      <c r="T10">
        <f t="shared" si="1"/>
        <v>4.5796157767342969</v>
      </c>
    </row>
    <row r="11" spans="1:20">
      <c r="A11" s="1" t="s">
        <v>165</v>
      </c>
      <c r="B11">
        <v>202094186760</v>
      </c>
      <c r="D11">
        <v>57336605500</v>
      </c>
      <c r="E11">
        <f t="shared" si="2"/>
        <v>0.28371229484245852</v>
      </c>
      <c r="F11">
        <v>44129070344</v>
      </c>
      <c r="G11">
        <f t="shared" si="3"/>
        <v>0.21835892982120333</v>
      </c>
      <c r="I11" s="2" t="s">
        <v>200</v>
      </c>
      <c r="J11" t="s">
        <v>71</v>
      </c>
      <c r="K11">
        <v>1</v>
      </c>
      <c r="L11">
        <v>0.89408953251158019</v>
      </c>
      <c r="M11">
        <v>0.96837455268802075</v>
      </c>
      <c r="P11" s="2" t="s">
        <v>200</v>
      </c>
      <c r="Q11" t="s">
        <v>71</v>
      </c>
      <c r="S11">
        <f t="shared" si="0"/>
        <v>1.1184562212588571</v>
      </c>
      <c r="T11">
        <f t="shared" si="1"/>
        <v>1.0326582800262492</v>
      </c>
    </row>
    <row r="12" spans="1:20">
      <c r="A12" s="1" t="s">
        <v>166</v>
      </c>
      <c r="B12">
        <v>295620945809</v>
      </c>
      <c r="D12">
        <v>264311593239</v>
      </c>
      <c r="E12">
        <f t="shared" si="2"/>
        <v>0.89408953251158019</v>
      </c>
      <c r="F12">
        <v>286271801163</v>
      </c>
      <c r="G12">
        <f t="shared" si="3"/>
        <v>0.96837455268802075</v>
      </c>
      <c r="I12" s="2"/>
      <c r="J12" t="s">
        <v>72</v>
      </c>
      <c r="K12">
        <v>1</v>
      </c>
      <c r="L12">
        <v>2.6543096636380969</v>
      </c>
      <c r="M12">
        <v>0.15531933675017406</v>
      </c>
      <c r="P12" s="2"/>
      <c r="Q12" t="s">
        <v>72</v>
      </c>
      <c r="S12">
        <f t="shared" si="0"/>
        <v>0.37674579334099334</v>
      </c>
      <c r="T12">
        <f t="shared" si="1"/>
        <v>6.4383483790461096</v>
      </c>
    </row>
    <row r="13" spans="1:20">
      <c r="A13" s="1" t="s">
        <v>167</v>
      </c>
      <c r="B13">
        <v>171529705930</v>
      </c>
      <c r="D13">
        <v>455292956051</v>
      </c>
      <c r="E13">
        <f t="shared" si="2"/>
        <v>2.6543096636380969</v>
      </c>
      <c r="F13">
        <v>26641880158</v>
      </c>
      <c r="G13">
        <f t="shared" si="3"/>
        <v>0.15531933675017406</v>
      </c>
      <c r="I13" s="2"/>
      <c r="J13" t="s">
        <v>73</v>
      </c>
      <c r="K13">
        <v>1</v>
      </c>
      <c r="L13">
        <v>0.23204615995934966</v>
      </c>
      <c r="M13">
        <v>0.25642327970951168</v>
      </c>
      <c r="P13" s="2"/>
      <c r="Q13" t="s">
        <v>73</v>
      </c>
      <c r="S13">
        <f t="shared" si="0"/>
        <v>4.3094873889539143</v>
      </c>
      <c r="T13">
        <f t="shared" si="1"/>
        <v>3.8998019256786938</v>
      </c>
    </row>
    <row r="14" spans="1:20">
      <c r="A14" s="1" t="s">
        <v>168</v>
      </c>
      <c r="B14">
        <v>1428457981701</v>
      </c>
      <c r="D14">
        <v>331468189317</v>
      </c>
      <c r="E14">
        <f t="shared" si="2"/>
        <v>0.23204615995934966</v>
      </c>
      <c r="F14">
        <v>366289880595</v>
      </c>
      <c r="G14">
        <f t="shared" si="3"/>
        <v>0.25642327970951168</v>
      </c>
      <c r="I14" s="2"/>
      <c r="J14" t="s">
        <v>74</v>
      </c>
      <c r="K14">
        <v>1</v>
      </c>
      <c r="L14">
        <v>11.182391708427739</v>
      </c>
      <c r="M14">
        <v>5.8615300730579356E-2</v>
      </c>
      <c r="P14" s="2"/>
      <c r="Q14" t="s">
        <v>74</v>
      </c>
      <c r="S14">
        <f t="shared" si="0"/>
        <v>8.9426307544417216E-2</v>
      </c>
      <c r="T14">
        <f t="shared" si="1"/>
        <v>17.060391869290608</v>
      </c>
    </row>
    <row r="15" spans="1:20">
      <c r="A15" s="1" t="s">
        <v>169</v>
      </c>
      <c r="B15">
        <v>1149820927880</v>
      </c>
      <c r="D15">
        <v>12857748010102</v>
      </c>
      <c r="E15">
        <f t="shared" si="2"/>
        <v>11.182391708427739</v>
      </c>
      <c r="F15">
        <v>67397099474</v>
      </c>
      <c r="G15">
        <f t="shared" si="3"/>
        <v>5.8615300730579356E-2</v>
      </c>
      <c r="I15" s="2"/>
      <c r="J15" t="s">
        <v>199</v>
      </c>
      <c r="K15">
        <v>1</v>
      </c>
      <c r="L15">
        <v>0.45762888714010869</v>
      </c>
      <c r="M15">
        <v>0.16584804712972417</v>
      </c>
      <c r="P15" s="2"/>
      <c r="Q15" t="s">
        <v>199</v>
      </c>
      <c r="S15">
        <f t="shared" si="0"/>
        <v>2.185176740588576</v>
      </c>
      <c r="T15">
        <f t="shared" si="1"/>
        <v>6.0296157676057112</v>
      </c>
    </row>
    <row r="16" spans="1:20">
      <c r="I16" s="2"/>
      <c r="J16" t="s">
        <v>77</v>
      </c>
      <c r="K16">
        <v>1</v>
      </c>
      <c r="L16">
        <v>1.1330887466796815</v>
      </c>
      <c r="M16">
        <v>0.24999821309735812</v>
      </c>
      <c r="P16" s="2"/>
      <c r="Q16" t="s">
        <v>77</v>
      </c>
      <c r="S16">
        <f t="shared" si="0"/>
        <v>0.88254340441587231</v>
      </c>
      <c r="T16">
        <f t="shared" si="1"/>
        <v>4.0000285906466253</v>
      </c>
    </row>
    <row r="17" spans="1:20">
      <c r="A17" s="1" t="s">
        <v>171</v>
      </c>
      <c r="B17">
        <v>805913076296</v>
      </c>
      <c r="D17">
        <v>368809104237</v>
      </c>
      <c r="E17">
        <f t="shared" si="2"/>
        <v>0.45762888714010869</v>
      </c>
      <c r="F17">
        <v>133659109860</v>
      </c>
      <c r="G17">
        <f t="shared" si="3"/>
        <v>0.16584804712972417</v>
      </c>
      <c r="I17" s="2"/>
      <c r="J17" t="s">
        <v>78</v>
      </c>
      <c r="K17">
        <v>1</v>
      </c>
      <c r="L17">
        <v>0.52096172542511032</v>
      </c>
      <c r="M17">
        <v>7.0682784615439614E-2</v>
      </c>
      <c r="P17" s="2"/>
      <c r="Q17" t="s">
        <v>78</v>
      </c>
      <c r="S17">
        <f t="shared" si="0"/>
        <v>1.9195268120397699</v>
      </c>
      <c r="T17">
        <f t="shared" si="1"/>
        <v>14.147716525893134</v>
      </c>
    </row>
    <row r="18" spans="1:20">
      <c r="A18" s="1" t="s">
        <v>172</v>
      </c>
      <c r="B18">
        <v>691024917113</v>
      </c>
      <c r="D18">
        <v>782992557256</v>
      </c>
      <c r="E18">
        <f t="shared" si="2"/>
        <v>1.1330887466796815</v>
      </c>
      <c r="F18">
        <v>172754994484</v>
      </c>
      <c r="G18">
        <f t="shared" si="3"/>
        <v>0.24999821309735812</v>
      </c>
      <c r="I18" s="2"/>
      <c r="J18" t="s">
        <v>79</v>
      </c>
      <c r="K18">
        <v>1</v>
      </c>
      <c r="L18">
        <v>0.64958649756127174</v>
      </c>
      <c r="M18">
        <v>0.16613362554153177</v>
      </c>
      <c r="P18" s="2"/>
      <c r="Q18" t="s">
        <v>79</v>
      </c>
      <c r="S18">
        <f t="shared" si="0"/>
        <v>1.5394408654648426</v>
      </c>
      <c r="T18">
        <f t="shared" si="1"/>
        <v>6.0192510501133309</v>
      </c>
    </row>
    <row r="19" spans="1:20">
      <c r="A19" s="1" t="s">
        <v>173</v>
      </c>
      <c r="B19">
        <v>1055222786861</v>
      </c>
      <c r="D19">
        <v>549730683751</v>
      </c>
      <c r="E19">
        <f t="shared" si="2"/>
        <v>0.52096172542511032</v>
      </c>
      <c r="F19">
        <v>74586084965</v>
      </c>
      <c r="G19">
        <f t="shared" si="3"/>
        <v>7.0682784615439614E-2</v>
      </c>
      <c r="I19" s="2"/>
      <c r="J19" t="s">
        <v>80</v>
      </c>
      <c r="K19">
        <v>1</v>
      </c>
      <c r="L19">
        <v>0.368060285665472</v>
      </c>
      <c r="M19">
        <v>0.28807544450786376</v>
      </c>
      <c r="P19" s="2"/>
      <c r="Q19" t="s">
        <v>80</v>
      </c>
      <c r="S19">
        <f t="shared" si="0"/>
        <v>2.7169462149167991</v>
      </c>
      <c r="T19">
        <f t="shared" si="1"/>
        <v>3.471312876765178</v>
      </c>
    </row>
    <row r="20" spans="1:20">
      <c r="A20" s="1" t="s">
        <v>174</v>
      </c>
      <c r="B20">
        <v>725185753855</v>
      </c>
      <c r="D20">
        <v>471070873928</v>
      </c>
      <c r="E20">
        <f t="shared" si="2"/>
        <v>0.64958649756127174</v>
      </c>
      <c r="F20">
        <v>120477738479</v>
      </c>
      <c r="G20">
        <f t="shared" si="3"/>
        <v>0.16613362554153177</v>
      </c>
      <c r="I20" s="2"/>
      <c r="J20" t="s">
        <v>81</v>
      </c>
      <c r="K20">
        <v>1</v>
      </c>
      <c r="L20">
        <v>0.24447416994148136</v>
      </c>
      <c r="M20">
        <v>0.16859412941455032</v>
      </c>
      <c r="P20" s="2"/>
      <c r="Q20" t="s">
        <v>81</v>
      </c>
      <c r="S20">
        <f t="shared" si="0"/>
        <v>4.0904116792353378</v>
      </c>
      <c r="T20">
        <f t="shared" si="1"/>
        <v>5.9314046311846029</v>
      </c>
    </row>
    <row r="21" spans="1:20">
      <c r="A21" s="1" t="s">
        <v>175</v>
      </c>
      <c r="B21">
        <v>1226477167551</v>
      </c>
      <c r="D21">
        <v>451417536651</v>
      </c>
      <c r="E21">
        <f t="shared" si="2"/>
        <v>0.368060285665472</v>
      </c>
      <c r="F21">
        <v>353317955221</v>
      </c>
      <c r="G21">
        <f t="shared" si="3"/>
        <v>0.28807544450786376</v>
      </c>
      <c r="I21" s="2" t="s">
        <v>201</v>
      </c>
      <c r="J21" t="s">
        <v>71</v>
      </c>
      <c r="K21">
        <v>1</v>
      </c>
      <c r="L21">
        <v>0.81546330469482486</v>
      </c>
      <c r="M21">
        <v>1.0176975469486542</v>
      </c>
      <c r="P21" s="2" t="s">
        <v>201</v>
      </c>
      <c r="Q21" t="s">
        <v>71</v>
      </c>
      <c r="S21">
        <f t="shared" si="0"/>
        <v>1.2262967496425057</v>
      </c>
      <c r="T21">
        <f t="shared" si="1"/>
        <v>0.98261020968192714</v>
      </c>
    </row>
    <row r="22" spans="1:20">
      <c r="A22" s="1" t="s">
        <v>176</v>
      </c>
      <c r="B22">
        <v>525811134930</v>
      </c>
      <c r="D22">
        <v>128547240758</v>
      </c>
      <c r="E22">
        <f>D22/B22</f>
        <v>0.24447416994148136</v>
      </c>
      <c r="F22">
        <v>88648670530</v>
      </c>
      <c r="G22">
        <f>F22/B22</f>
        <v>0.16859412941455032</v>
      </c>
      <c r="I22" s="2"/>
      <c r="J22" t="s">
        <v>72</v>
      </c>
      <c r="K22">
        <v>1</v>
      </c>
      <c r="L22">
        <v>2.9470330433600229</v>
      </c>
      <c r="M22">
        <v>0.19952410286901889</v>
      </c>
      <c r="P22" s="2"/>
      <c r="Q22" t="s">
        <v>72</v>
      </c>
      <c r="S22">
        <f t="shared" si="0"/>
        <v>0.33932432561389353</v>
      </c>
      <c r="T22">
        <f t="shared" si="1"/>
        <v>5.0119258055577758</v>
      </c>
    </row>
    <row r="23" spans="1:20">
      <c r="A23" s="1" t="s">
        <v>177</v>
      </c>
      <c r="B23">
        <v>641293416479</v>
      </c>
      <c r="D23">
        <v>522951248681</v>
      </c>
      <c r="E23">
        <f t="shared" si="2"/>
        <v>0.81546330469482486</v>
      </c>
      <c r="F23">
        <v>652642736825</v>
      </c>
      <c r="G23">
        <f t="shared" si="3"/>
        <v>1.0176975469486542</v>
      </c>
      <c r="I23" s="2"/>
      <c r="J23" t="s">
        <v>73</v>
      </c>
      <c r="K23">
        <v>1</v>
      </c>
      <c r="L23">
        <v>0.27632610277093111</v>
      </c>
      <c r="M23">
        <v>0.33155574638019769</v>
      </c>
      <c r="P23" s="2"/>
      <c r="Q23" t="s">
        <v>73</v>
      </c>
      <c r="S23">
        <f t="shared" si="0"/>
        <v>3.6189125456199855</v>
      </c>
      <c r="T23">
        <f t="shared" si="1"/>
        <v>3.0160840549971701</v>
      </c>
    </row>
    <row r="24" spans="1:20">
      <c r="A24" s="1" t="s">
        <v>178</v>
      </c>
      <c r="B24">
        <v>338545179854</v>
      </c>
      <c r="D24">
        <v>997703831700</v>
      </c>
      <c r="E24">
        <f t="shared" si="2"/>
        <v>2.9470330433600229</v>
      </c>
      <c r="F24">
        <v>67547923291</v>
      </c>
      <c r="G24">
        <f t="shared" si="3"/>
        <v>0.19952410286901889</v>
      </c>
      <c r="I24" s="2"/>
      <c r="J24" t="s">
        <v>74</v>
      </c>
      <c r="K24">
        <v>1</v>
      </c>
      <c r="L24">
        <v>14.869500551597023</v>
      </c>
      <c r="M24">
        <v>5.7832971136524622E-2</v>
      </c>
      <c r="P24" s="2"/>
      <c r="Q24" t="s">
        <v>74</v>
      </c>
      <c r="S24">
        <f t="shared" si="0"/>
        <v>6.725175445738811E-2</v>
      </c>
      <c r="T24">
        <f t="shared" si="1"/>
        <v>17.291174573053301</v>
      </c>
    </row>
    <row r="25" spans="1:20">
      <c r="A25" s="1" t="s">
        <v>179</v>
      </c>
      <c r="B25">
        <v>2416817390989</v>
      </c>
      <c r="D25">
        <v>667829730761</v>
      </c>
      <c r="E25">
        <f t="shared" si="2"/>
        <v>0.27632610277093111</v>
      </c>
      <c r="F25">
        <v>801309693934</v>
      </c>
      <c r="G25">
        <f t="shared" si="3"/>
        <v>0.33155574638019769</v>
      </c>
      <c r="I25" s="2"/>
      <c r="J25" t="s">
        <v>199</v>
      </c>
      <c r="K25">
        <v>1</v>
      </c>
      <c r="L25">
        <v>0.34341139859832021</v>
      </c>
      <c r="M25">
        <v>0.17290578022033914</v>
      </c>
      <c r="P25" s="2"/>
      <c r="Q25" t="s">
        <v>199</v>
      </c>
      <c r="S25">
        <f t="shared" si="0"/>
        <v>2.9119592537744361</v>
      </c>
      <c r="T25">
        <f t="shared" si="1"/>
        <v>5.7834966461252444</v>
      </c>
    </row>
    <row r="26" spans="1:20">
      <c r="A26" s="1" t="s">
        <v>180</v>
      </c>
      <c r="B26">
        <v>2310250799766</v>
      </c>
      <c r="D26">
        <v>34352275541448</v>
      </c>
      <c r="E26">
        <f t="shared" si="2"/>
        <v>14.869500551597023</v>
      </c>
      <c r="F26">
        <v>133608667821</v>
      </c>
      <c r="G26">
        <f t="shared" si="3"/>
        <v>5.7832971136524622E-2</v>
      </c>
      <c r="I26" s="2"/>
      <c r="J26" t="s">
        <v>77</v>
      </c>
      <c r="K26">
        <v>1</v>
      </c>
      <c r="L26">
        <v>1.2575619631557873</v>
      </c>
      <c r="M26">
        <v>0.30694755729513634</v>
      </c>
      <c r="P26" s="2"/>
      <c r="Q26" t="s">
        <v>77</v>
      </c>
      <c r="S26">
        <f t="shared" si="0"/>
        <v>0.79518944536979419</v>
      </c>
      <c r="T26">
        <f t="shared" si="1"/>
        <v>3.2578855124703909</v>
      </c>
    </row>
    <row r="27" spans="1:20">
      <c r="I27" s="2"/>
      <c r="J27" t="s">
        <v>78</v>
      </c>
      <c r="K27">
        <v>1</v>
      </c>
      <c r="L27">
        <v>0.59002704068660239</v>
      </c>
      <c r="M27">
        <v>0.12609616333492471</v>
      </c>
      <c r="P27" s="2"/>
      <c r="Q27" t="s">
        <v>78</v>
      </c>
      <c r="S27">
        <f t="shared" si="0"/>
        <v>1.6948375769970143</v>
      </c>
      <c r="T27">
        <f t="shared" si="1"/>
        <v>7.9304554044510818</v>
      </c>
    </row>
    <row r="28" spans="1:20">
      <c r="A28" s="1" t="s">
        <v>182</v>
      </c>
      <c r="B28">
        <v>2293466608315</v>
      </c>
      <c r="D28">
        <v>787602575600</v>
      </c>
      <c r="E28">
        <f t="shared" si="2"/>
        <v>0.34341139859832021</v>
      </c>
      <c r="F28">
        <v>396553633320</v>
      </c>
      <c r="G28">
        <f t="shared" si="3"/>
        <v>0.17290578022033914</v>
      </c>
      <c r="I28" s="2"/>
      <c r="J28" t="s">
        <v>79</v>
      </c>
      <c r="K28">
        <v>1</v>
      </c>
      <c r="L28">
        <v>0.94620107987774293</v>
      </c>
      <c r="M28">
        <v>0.42251776993512341</v>
      </c>
      <c r="P28" s="2"/>
      <c r="Q28" t="s">
        <v>79</v>
      </c>
      <c r="S28">
        <f t="shared" si="0"/>
        <v>1.0568578088382738</v>
      </c>
      <c r="T28">
        <f t="shared" si="1"/>
        <v>2.366764361540457</v>
      </c>
    </row>
    <row r="29" spans="1:20">
      <c r="A29" s="1" t="s">
        <v>183</v>
      </c>
      <c r="B29">
        <v>1236052932577</v>
      </c>
      <c r="D29">
        <v>1554413152456</v>
      </c>
      <c r="E29">
        <f t="shared" si="2"/>
        <v>1.2575619631557873</v>
      </c>
      <c r="F29">
        <v>379403428342</v>
      </c>
      <c r="G29">
        <f t="shared" si="3"/>
        <v>0.30694755729513634</v>
      </c>
      <c r="I29" s="2"/>
      <c r="J29" t="s">
        <v>80</v>
      </c>
      <c r="K29">
        <v>1</v>
      </c>
      <c r="L29">
        <v>0.25539864481076613</v>
      </c>
      <c r="M29">
        <v>0.28102705777543147</v>
      </c>
      <c r="P29" s="2"/>
      <c r="Q29" t="s">
        <v>80</v>
      </c>
      <c r="S29">
        <f t="shared" si="0"/>
        <v>3.9154475574486125</v>
      </c>
      <c r="T29">
        <f t="shared" si="1"/>
        <v>3.5583762215490986</v>
      </c>
    </row>
    <row r="30" spans="1:20">
      <c r="A30" s="1" t="s">
        <v>184</v>
      </c>
      <c r="B30">
        <v>2121553464735</v>
      </c>
      <c r="D30">
        <v>1251773912456</v>
      </c>
      <c r="E30">
        <f t="shared" si="2"/>
        <v>0.59002704068660239</v>
      </c>
      <c r="F30">
        <v>267519752213</v>
      </c>
      <c r="G30">
        <f t="shared" si="3"/>
        <v>0.12609616333492471</v>
      </c>
      <c r="I30" s="2"/>
      <c r="J30" t="s">
        <v>81</v>
      </c>
      <c r="K30">
        <v>1</v>
      </c>
      <c r="L30">
        <v>0.3245089389278531</v>
      </c>
      <c r="M30">
        <v>0.22820897139270879</v>
      </c>
      <c r="P30" s="2"/>
      <c r="Q30" t="s">
        <v>81</v>
      </c>
      <c r="S30">
        <f t="shared" si="0"/>
        <v>3.0815792110501041</v>
      </c>
      <c r="T30">
        <f t="shared" si="1"/>
        <v>4.3819486758001736</v>
      </c>
    </row>
    <row r="31" spans="1:20">
      <c r="A31" s="1" t="s">
        <v>185</v>
      </c>
      <c r="B31">
        <v>1003043530193</v>
      </c>
      <c r="D31">
        <v>949080871433</v>
      </c>
      <c r="E31">
        <f t="shared" si="2"/>
        <v>0.94620107987774293</v>
      </c>
      <c r="F31">
        <v>423803715525</v>
      </c>
      <c r="G31">
        <f t="shared" si="3"/>
        <v>0.42251776993512341</v>
      </c>
      <c r="P31" t="s">
        <v>198</v>
      </c>
      <c r="Q31" t="s">
        <v>69</v>
      </c>
      <c r="S31">
        <f>GEOMEAN(S1:S10)</f>
        <v>1.5825699805132065</v>
      </c>
      <c r="T31">
        <f>GEOMEAN(T1:T10)</f>
        <v>7.2794787983550302</v>
      </c>
    </row>
    <row r="32" spans="1:20">
      <c r="A32" s="1" t="s">
        <v>186</v>
      </c>
      <c r="B32">
        <v>3558892679221</v>
      </c>
      <c r="D32">
        <v>908936367300</v>
      </c>
      <c r="E32">
        <f t="shared" si="2"/>
        <v>0.25539864481076613</v>
      </c>
      <c r="F32">
        <v>1000145138580</v>
      </c>
      <c r="G32">
        <f t="shared" si="3"/>
        <v>0.28102705777543147</v>
      </c>
      <c r="P32" t="s">
        <v>200</v>
      </c>
      <c r="Q32" t="s">
        <v>69</v>
      </c>
      <c r="S32">
        <f>GEOMEAN(S11:S20)</f>
        <v>1.2624628907500139</v>
      </c>
      <c r="T32">
        <f>GEOMEAN(T11:T20)</f>
        <v>5.3358000988830128</v>
      </c>
    </row>
    <row r="33" spans="1:20">
      <c r="A33" s="1" t="s">
        <v>187</v>
      </c>
      <c r="B33">
        <v>838238299058</v>
      </c>
      <c r="D33">
        <v>272015820996</v>
      </c>
      <c r="E33">
        <f t="shared" si="2"/>
        <v>0.3245089389278531</v>
      </c>
      <c r="F33">
        <v>191293500010</v>
      </c>
      <c r="G33">
        <f t="shared" si="3"/>
        <v>0.22820897139270879</v>
      </c>
      <c r="P33" t="s">
        <v>201</v>
      </c>
      <c r="Q33" t="s">
        <v>69</v>
      </c>
      <c r="S33">
        <f>GEOMEAN(S21:S30)</f>
        <v>1.1762097013701025</v>
      </c>
      <c r="T33">
        <f>GEOMEAN(T21:T30)</f>
        <v>4.1220688806408505</v>
      </c>
    </row>
    <row r="34" spans="1:20">
      <c r="K34">
        <v>1</v>
      </c>
      <c r="L34">
        <f>GEOMEAN(L1:L30)</f>
        <v>0.75216173002659437</v>
      </c>
      <c r="M34">
        <f>GEOMEAN(M1:M30)</f>
        <v>0.1841598586885726</v>
      </c>
      <c r="P34" t="s">
        <v>202</v>
      </c>
      <c r="Q34" t="s">
        <v>69</v>
      </c>
      <c r="S34">
        <f>GEOMEAN(S1:S30)</f>
        <v>1.3295013028177367</v>
      </c>
      <c r="T34">
        <f>GEOMEAN(T1:T30)</f>
        <v>5.4300649833309826</v>
      </c>
    </row>
    <row r="35" spans="1:20">
      <c r="A35" s="1" t="s">
        <v>159</v>
      </c>
      <c r="B35">
        <v>234566779962</v>
      </c>
      <c r="D35">
        <v>795199657102</v>
      </c>
      <c r="E35">
        <f>D35/B35</f>
        <v>3.3900779011879814</v>
      </c>
      <c r="F35">
        <v>372177054594</v>
      </c>
      <c r="G35">
        <f>F35/B35</f>
        <v>1.58665713301045</v>
      </c>
      <c r="I35" t="s">
        <v>70</v>
      </c>
      <c r="J35" t="s">
        <v>76</v>
      </c>
      <c r="K35">
        <v>1</v>
      </c>
      <c r="L35">
        <v>3.3900779011879814</v>
      </c>
      <c r="M35">
        <v>1.58665713301045</v>
      </c>
      <c r="P35">
        <v>0.30356555071236735</v>
      </c>
      <c r="Q35">
        <v>8.1423737085721745E-2</v>
      </c>
    </row>
    <row r="36" spans="1:20">
      <c r="A36" s="1" t="s">
        <v>170</v>
      </c>
      <c r="B36">
        <v>664848745428</v>
      </c>
      <c r="D36">
        <v>1610638465658</v>
      </c>
      <c r="E36">
        <f>D36/B36</f>
        <v>2.4225637436092966</v>
      </c>
      <c r="F36">
        <v>1642222720368</v>
      </c>
      <c r="G36">
        <f>F36/B36</f>
        <v>2.4700696687196277</v>
      </c>
      <c r="K36">
        <v>1</v>
      </c>
      <c r="L36">
        <v>2.4225637436092966</v>
      </c>
      <c r="M36">
        <v>2.4700696687196277</v>
      </c>
      <c r="O36">
        <v>1</v>
      </c>
      <c r="P36">
        <v>1.1330887466796815</v>
      </c>
      <c r="Q36">
        <v>0.24999821309735812</v>
      </c>
    </row>
    <row r="37" spans="1:20">
      <c r="A37" s="1" t="s">
        <v>181</v>
      </c>
      <c r="B37">
        <v>970865326919</v>
      </c>
      <c r="D37">
        <v>3213808042564</v>
      </c>
      <c r="E37">
        <f>D37/B37</f>
        <v>3.3102511269641113</v>
      </c>
      <c r="F37">
        <v>5232640137298</v>
      </c>
      <c r="G37">
        <f>F37/B37</f>
        <v>5.3896663030531347</v>
      </c>
      <c r="K37">
        <v>1</v>
      </c>
      <c r="L37">
        <v>3.3102511269641113</v>
      </c>
      <c r="M37">
        <v>5.3896663030531347</v>
      </c>
    </row>
  </sheetData>
  <mergeCells count="6">
    <mergeCell ref="I1:I10"/>
    <mergeCell ref="I11:I20"/>
    <mergeCell ref="I21:I30"/>
    <mergeCell ref="P1:P10"/>
    <mergeCell ref="P11:P20"/>
    <mergeCell ref="P21:P3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CDE3-AD13-4613-9FF3-6EF630DF8090}">
  <dimension ref="A1:R34"/>
  <sheetViews>
    <sheetView workbookViewId="0">
      <selection activeCell="M33" sqref="M33"/>
    </sheetView>
  </sheetViews>
  <sheetFormatPr defaultRowHeight="14.25"/>
  <cols>
    <col min="1" max="1" width="23.625" customWidth="1"/>
  </cols>
  <sheetData>
    <row r="1" spans="1:18">
      <c r="A1" t="s">
        <v>86</v>
      </c>
      <c r="B1">
        <v>13771</v>
      </c>
      <c r="C1">
        <v>844</v>
      </c>
      <c r="Q1" t="s">
        <v>196</v>
      </c>
      <c r="R1" t="s">
        <v>197</v>
      </c>
    </row>
    <row r="2" spans="1:18">
      <c r="A2" t="s">
        <v>87</v>
      </c>
      <c r="B2">
        <v>616</v>
      </c>
      <c r="C2">
        <v>83</v>
      </c>
      <c r="P2" t="s">
        <v>86</v>
      </c>
      <c r="Q2">
        <v>13771</v>
      </c>
      <c r="R2">
        <v>660</v>
      </c>
    </row>
    <row r="3" spans="1:18">
      <c r="A3" t="s">
        <v>88</v>
      </c>
      <c r="B3">
        <v>9712</v>
      </c>
      <c r="C3">
        <v>834</v>
      </c>
      <c r="P3" t="s">
        <v>87</v>
      </c>
      <c r="Q3">
        <v>616</v>
      </c>
      <c r="R3">
        <v>654</v>
      </c>
    </row>
    <row r="4" spans="1:18">
      <c r="A4" t="s">
        <v>89</v>
      </c>
      <c r="B4">
        <v>722</v>
      </c>
      <c r="C4">
        <v>24</v>
      </c>
      <c r="P4" t="s">
        <v>88</v>
      </c>
      <c r="Q4">
        <v>9712</v>
      </c>
      <c r="R4">
        <v>644</v>
      </c>
    </row>
    <row r="5" spans="1:18">
      <c r="A5" t="s">
        <v>90</v>
      </c>
      <c r="B5">
        <v>662</v>
      </c>
      <c r="C5">
        <v>347</v>
      </c>
      <c r="P5" t="s">
        <v>89</v>
      </c>
      <c r="Q5">
        <v>722</v>
      </c>
      <c r="R5">
        <v>741</v>
      </c>
    </row>
    <row r="6" spans="1:18">
      <c r="A6" t="s">
        <v>91</v>
      </c>
      <c r="B6">
        <v>651</v>
      </c>
      <c r="C6">
        <v>256</v>
      </c>
      <c r="P6" t="s">
        <v>90</v>
      </c>
      <c r="Q6">
        <v>662</v>
      </c>
      <c r="R6">
        <v>700</v>
      </c>
    </row>
    <row r="7" spans="1:18">
      <c r="A7" t="s">
        <v>92</v>
      </c>
      <c r="B7">
        <v>1924</v>
      </c>
      <c r="C7">
        <v>578</v>
      </c>
      <c r="P7" t="s">
        <v>91</v>
      </c>
      <c r="Q7">
        <v>651</v>
      </c>
      <c r="R7">
        <v>659</v>
      </c>
    </row>
    <row r="8" spans="1:18">
      <c r="A8" t="s">
        <v>93</v>
      </c>
      <c r="B8">
        <v>681</v>
      </c>
      <c r="C8">
        <v>123</v>
      </c>
      <c r="P8" t="s">
        <v>92</v>
      </c>
      <c r="Q8">
        <v>1924</v>
      </c>
      <c r="R8">
        <v>696</v>
      </c>
    </row>
    <row r="9" spans="1:18">
      <c r="A9" t="s">
        <v>94</v>
      </c>
      <c r="B9">
        <v>671</v>
      </c>
      <c r="C9">
        <v>174</v>
      </c>
      <c r="P9" t="s">
        <v>93</v>
      </c>
      <c r="Q9">
        <v>681</v>
      </c>
      <c r="R9">
        <v>719</v>
      </c>
    </row>
    <row r="10" spans="1:18">
      <c r="A10" t="s">
        <v>95</v>
      </c>
      <c r="B10">
        <v>729</v>
      </c>
      <c r="C10">
        <v>409</v>
      </c>
      <c r="P10" t="s">
        <v>94</v>
      </c>
      <c r="Q10">
        <v>671</v>
      </c>
      <c r="R10">
        <v>726</v>
      </c>
    </row>
    <row r="11" spans="1:18">
      <c r="A11" t="s">
        <v>96</v>
      </c>
      <c r="B11">
        <v>605</v>
      </c>
      <c r="C11">
        <v>356</v>
      </c>
      <c r="P11" t="s">
        <v>95</v>
      </c>
      <c r="Q11">
        <v>729</v>
      </c>
      <c r="R11">
        <v>660</v>
      </c>
    </row>
    <row r="12" spans="1:18">
      <c r="A12" t="s">
        <v>97</v>
      </c>
      <c r="B12">
        <v>33397</v>
      </c>
      <c r="C12">
        <v>1688</v>
      </c>
      <c r="P12" t="s">
        <v>96</v>
      </c>
      <c r="Q12">
        <v>605</v>
      </c>
      <c r="R12">
        <v>687</v>
      </c>
    </row>
    <row r="13" spans="1:18">
      <c r="A13" t="s">
        <v>98</v>
      </c>
      <c r="B13">
        <v>626</v>
      </c>
      <c r="C13">
        <v>166</v>
      </c>
      <c r="P13" t="s">
        <v>97</v>
      </c>
      <c r="Q13">
        <v>33397</v>
      </c>
      <c r="R13">
        <v>661</v>
      </c>
    </row>
    <row r="14" spans="1:18">
      <c r="A14" t="s">
        <v>99</v>
      </c>
      <c r="B14">
        <v>23903</v>
      </c>
      <c r="C14">
        <v>1668</v>
      </c>
      <c r="P14" t="s">
        <v>98</v>
      </c>
      <c r="Q14">
        <v>626</v>
      </c>
      <c r="R14">
        <v>648</v>
      </c>
    </row>
    <row r="15" spans="1:18">
      <c r="A15" t="s">
        <v>100</v>
      </c>
      <c r="B15">
        <v>664</v>
      </c>
      <c r="C15">
        <v>48</v>
      </c>
      <c r="P15" t="s">
        <v>99</v>
      </c>
      <c r="Q15">
        <v>23903</v>
      </c>
      <c r="R15">
        <v>628</v>
      </c>
    </row>
    <row r="16" spans="1:18">
      <c r="A16" t="s">
        <v>101</v>
      </c>
      <c r="B16">
        <v>628</v>
      </c>
      <c r="C16">
        <v>694</v>
      </c>
      <c r="P16" t="s">
        <v>100</v>
      </c>
      <c r="Q16">
        <v>664</v>
      </c>
      <c r="R16">
        <v>786</v>
      </c>
    </row>
    <row r="17" spans="1:18">
      <c r="A17" t="s">
        <v>102</v>
      </c>
      <c r="B17">
        <v>687</v>
      </c>
      <c r="C17">
        <v>512</v>
      </c>
      <c r="P17" t="s">
        <v>101</v>
      </c>
      <c r="Q17">
        <v>628</v>
      </c>
      <c r="R17">
        <v>678</v>
      </c>
    </row>
    <row r="18" spans="1:18">
      <c r="A18" t="s">
        <v>103</v>
      </c>
      <c r="B18">
        <v>7691</v>
      </c>
      <c r="C18">
        <v>1156</v>
      </c>
      <c r="P18" t="s">
        <v>102</v>
      </c>
      <c r="Q18">
        <v>687</v>
      </c>
      <c r="R18">
        <v>676</v>
      </c>
    </row>
    <row r="19" spans="1:18">
      <c r="A19" t="s">
        <v>104</v>
      </c>
      <c r="B19">
        <v>642</v>
      </c>
      <c r="C19">
        <v>246</v>
      </c>
      <c r="P19" t="s">
        <v>103</v>
      </c>
      <c r="Q19">
        <v>7691</v>
      </c>
      <c r="R19">
        <v>690</v>
      </c>
    </row>
    <row r="20" spans="1:18">
      <c r="A20" t="s">
        <v>105</v>
      </c>
      <c r="B20">
        <v>694</v>
      </c>
      <c r="C20">
        <v>348</v>
      </c>
      <c r="P20" t="s">
        <v>104</v>
      </c>
      <c r="Q20">
        <v>642</v>
      </c>
      <c r="R20">
        <v>703</v>
      </c>
    </row>
    <row r="21" spans="1:18">
      <c r="A21" t="s">
        <v>106</v>
      </c>
      <c r="B21">
        <v>1880</v>
      </c>
      <c r="C21">
        <v>818</v>
      </c>
      <c r="P21" t="s">
        <v>105</v>
      </c>
      <c r="Q21">
        <v>694</v>
      </c>
      <c r="R21">
        <v>729</v>
      </c>
    </row>
    <row r="22" spans="1:18">
      <c r="A22" t="s">
        <v>107</v>
      </c>
      <c r="B22">
        <v>1193</v>
      </c>
      <c r="C22">
        <v>712</v>
      </c>
      <c r="P22" t="s">
        <v>106</v>
      </c>
      <c r="Q22">
        <v>1880</v>
      </c>
      <c r="R22">
        <v>658</v>
      </c>
    </row>
    <row r="23" spans="1:18">
      <c r="A23" t="s">
        <v>108</v>
      </c>
      <c r="B23">
        <v>89164</v>
      </c>
      <c r="C23">
        <v>3376</v>
      </c>
      <c r="P23" t="s">
        <v>107</v>
      </c>
      <c r="Q23">
        <v>1193</v>
      </c>
      <c r="R23">
        <v>625</v>
      </c>
    </row>
    <row r="24" spans="1:18">
      <c r="A24" t="s">
        <v>109</v>
      </c>
      <c r="B24">
        <v>635</v>
      </c>
      <c r="C24">
        <v>332</v>
      </c>
      <c r="P24" t="s">
        <v>108</v>
      </c>
      <c r="Q24">
        <v>89164</v>
      </c>
      <c r="R24">
        <v>662</v>
      </c>
    </row>
    <row r="25" spans="1:18">
      <c r="A25" t="s">
        <v>110</v>
      </c>
      <c r="B25">
        <v>89709</v>
      </c>
      <c r="C25">
        <v>3336</v>
      </c>
      <c r="P25" t="s">
        <v>109</v>
      </c>
      <c r="Q25">
        <v>635</v>
      </c>
      <c r="R25">
        <v>698</v>
      </c>
    </row>
    <row r="26" spans="1:18">
      <c r="A26" t="s">
        <v>111</v>
      </c>
      <c r="B26">
        <v>691</v>
      </c>
      <c r="C26">
        <v>96</v>
      </c>
      <c r="P26" t="s">
        <v>110</v>
      </c>
      <c r="Q26">
        <v>89709</v>
      </c>
      <c r="R26">
        <v>701</v>
      </c>
    </row>
    <row r="27" spans="1:18">
      <c r="A27" t="s">
        <v>112</v>
      </c>
      <c r="B27">
        <v>14379</v>
      </c>
      <c r="C27">
        <v>1388</v>
      </c>
      <c r="P27" t="s">
        <v>111</v>
      </c>
      <c r="Q27">
        <v>691</v>
      </c>
      <c r="R27">
        <v>749</v>
      </c>
    </row>
    <row r="28" spans="1:18">
      <c r="A28" t="s">
        <v>113</v>
      </c>
      <c r="B28">
        <v>1711</v>
      </c>
      <c r="C28">
        <v>1024</v>
      </c>
      <c r="P28" t="s">
        <v>112</v>
      </c>
      <c r="Q28">
        <v>14379</v>
      </c>
      <c r="R28">
        <v>684</v>
      </c>
    </row>
    <row r="29" spans="1:18">
      <c r="A29" t="s">
        <v>114</v>
      </c>
      <c r="B29">
        <v>23023</v>
      </c>
      <c r="C29">
        <v>2312</v>
      </c>
      <c r="P29" t="s">
        <v>113</v>
      </c>
      <c r="Q29">
        <v>1711</v>
      </c>
      <c r="R29">
        <v>682</v>
      </c>
    </row>
    <row r="30" spans="1:18">
      <c r="A30" t="s">
        <v>115</v>
      </c>
      <c r="B30">
        <v>691</v>
      </c>
      <c r="C30">
        <v>492</v>
      </c>
      <c r="P30" t="s">
        <v>114</v>
      </c>
      <c r="Q30">
        <v>23023</v>
      </c>
      <c r="R30">
        <v>668</v>
      </c>
    </row>
    <row r="31" spans="1:18">
      <c r="A31" t="s">
        <v>116</v>
      </c>
      <c r="B31">
        <v>721</v>
      </c>
      <c r="C31">
        <v>696</v>
      </c>
      <c r="P31" t="s">
        <v>115</v>
      </c>
      <c r="Q31">
        <v>691</v>
      </c>
      <c r="R31">
        <v>700</v>
      </c>
    </row>
    <row r="32" spans="1:18">
      <c r="A32" t="s">
        <v>117</v>
      </c>
      <c r="B32">
        <v>22210</v>
      </c>
      <c r="C32">
        <v>1636</v>
      </c>
      <c r="P32" t="s">
        <v>116</v>
      </c>
      <c r="Q32">
        <v>721</v>
      </c>
      <c r="R32">
        <v>700</v>
      </c>
    </row>
    <row r="33" spans="1:18">
      <c r="A33" t="s">
        <v>118</v>
      </c>
      <c r="B33">
        <v>9076</v>
      </c>
      <c r="C33">
        <v>1424</v>
      </c>
      <c r="P33" t="s">
        <v>117</v>
      </c>
      <c r="Q33">
        <v>22210</v>
      </c>
      <c r="R33">
        <v>709</v>
      </c>
    </row>
    <row r="34" spans="1:18">
      <c r="P34" t="s">
        <v>118</v>
      </c>
      <c r="Q34">
        <v>9076</v>
      </c>
      <c r="R34">
        <v>664</v>
      </c>
    </row>
  </sheetData>
  <phoneticPr fontId="1" type="noConversion"/>
  <pageMargins left="0.7" right="0.7" top="0.75" bottom="0.75" header="0.3" footer="0.3"/>
  <pageSetup paperSize="15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8A4D-9F8B-4C55-9212-DCB31C5C1EE1}">
  <dimension ref="A1:C16"/>
  <sheetViews>
    <sheetView workbookViewId="0">
      <selection activeCell="R14" sqref="R14"/>
    </sheetView>
  </sheetViews>
  <sheetFormatPr defaultRowHeight="14.25"/>
  <sheetData>
    <row r="1" spans="1:3">
      <c r="A1" t="s">
        <v>122</v>
      </c>
      <c r="B1" t="s">
        <v>138</v>
      </c>
      <c r="C1">
        <v>1</v>
      </c>
    </row>
    <row r="2" spans="1:3">
      <c r="A2" t="s">
        <v>123</v>
      </c>
      <c r="B2" t="s">
        <v>139</v>
      </c>
      <c r="C2">
        <v>1.54237</v>
      </c>
    </row>
    <row r="3" spans="1:3">
      <c r="A3" t="s">
        <v>124</v>
      </c>
      <c r="B3" t="s">
        <v>140</v>
      </c>
      <c r="C3">
        <v>2.5356709999999998</v>
      </c>
    </row>
    <row r="4" spans="1:3">
      <c r="A4" t="s">
        <v>125</v>
      </c>
      <c r="B4" t="s">
        <v>141</v>
      </c>
      <c r="C4">
        <v>4.5369590000000004</v>
      </c>
    </row>
    <row r="5" spans="1:3">
      <c r="A5" t="s">
        <v>126</v>
      </c>
      <c r="B5" t="s">
        <v>142</v>
      </c>
      <c r="C5">
        <v>8.5708570000000002</v>
      </c>
    </row>
    <row r="6" spans="1:3">
      <c r="A6" t="s">
        <v>127</v>
      </c>
      <c r="B6" t="s">
        <v>143</v>
      </c>
      <c r="C6">
        <v>16.557169999999999</v>
      </c>
    </row>
    <row r="7" spans="1:3">
      <c r="A7" t="s">
        <v>128</v>
      </c>
      <c r="B7" t="s">
        <v>144</v>
      </c>
      <c r="C7">
        <v>32.541843</v>
      </c>
    </row>
    <row r="8" spans="1:3">
      <c r="A8" t="s">
        <v>129</v>
      </c>
      <c r="B8" t="s">
        <v>145</v>
      </c>
      <c r="C8">
        <v>64.423349999999999</v>
      </c>
    </row>
    <row r="9" spans="1:3">
      <c r="A9" t="s">
        <v>130</v>
      </c>
      <c r="B9" t="s">
        <v>146</v>
      </c>
      <c r="C9">
        <v>128.46902800000001</v>
      </c>
    </row>
    <row r="10" spans="1:3">
      <c r="A10" t="s">
        <v>131</v>
      </c>
      <c r="B10" t="s">
        <v>147</v>
      </c>
      <c r="C10">
        <v>256.87531999999999</v>
      </c>
    </row>
    <row r="11" spans="1:3">
      <c r="A11" t="s">
        <v>132</v>
      </c>
      <c r="B11" t="s">
        <v>148</v>
      </c>
      <c r="C11">
        <v>512.60646899999995</v>
      </c>
    </row>
    <row r="12" spans="1:3">
      <c r="A12" t="s">
        <v>133</v>
      </c>
      <c r="B12" t="s">
        <v>149</v>
      </c>
      <c r="C12">
        <v>1062.026046</v>
      </c>
    </row>
    <row r="13" spans="1:3">
      <c r="A13" t="s">
        <v>134</v>
      </c>
      <c r="B13" t="s">
        <v>150</v>
      </c>
      <c r="C13">
        <v>2046.3566760000001</v>
      </c>
    </row>
    <row r="14" spans="1:3">
      <c r="A14" t="s">
        <v>135</v>
      </c>
      <c r="B14" t="s">
        <v>151</v>
      </c>
      <c r="C14">
        <v>4281.6911209999998</v>
      </c>
    </row>
    <row r="15" spans="1:3">
      <c r="A15" t="s">
        <v>136</v>
      </c>
      <c r="B15" t="s">
        <v>152</v>
      </c>
      <c r="C15">
        <v>8094.9235699999999</v>
      </c>
    </row>
    <row r="16" spans="1:3">
      <c r="A16" t="s">
        <v>137</v>
      </c>
      <c r="B16" t="s">
        <v>153</v>
      </c>
      <c r="C16">
        <v>16384.091904000001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541-E3B7-4E4E-A819-81007DE5E60F}">
  <dimension ref="A1:Q34"/>
  <sheetViews>
    <sheetView workbookViewId="0">
      <selection activeCell="P1" sqref="P1:P1048576"/>
    </sheetView>
  </sheetViews>
  <sheetFormatPr defaultRowHeight="14.25"/>
  <sheetData>
    <row r="1" spans="1:17">
      <c r="A1" t="s">
        <v>0</v>
      </c>
      <c r="B1">
        <v>331620</v>
      </c>
      <c r="C1">
        <v>320034</v>
      </c>
      <c r="P1" t="s">
        <v>86</v>
      </c>
      <c r="Q1">
        <v>1.0362024034946287</v>
      </c>
    </row>
    <row r="2" spans="1:17">
      <c r="A2" t="s">
        <v>1</v>
      </c>
      <c r="B2">
        <v>889922</v>
      </c>
      <c r="C2">
        <v>79407</v>
      </c>
      <c r="P2" t="s">
        <v>87</v>
      </c>
      <c r="Q2">
        <v>11.207097611041847</v>
      </c>
    </row>
    <row r="3" spans="1:17">
      <c r="A3" t="s">
        <v>2</v>
      </c>
      <c r="B3">
        <v>372907</v>
      </c>
      <c r="C3">
        <v>375460</v>
      </c>
      <c r="P3" t="s">
        <v>88</v>
      </c>
      <c r="Q3">
        <v>0.99320034091514409</v>
      </c>
    </row>
    <row r="4" spans="1:17">
      <c r="A4" t="s">
        <v>3</v>
      </c>
      <c r="B4">
        <v>20967727</v>
      </c>
      <c r="C4">
        <v>692346</v>
      </c>
      <c r="P4" t="s">
        <v>89</v>
      </c>
      <c r="Q4">
        <v>30.285041005508806</v>
      </c>
    </row>
    <row r="5" spans="1:17">
      <c r="A5" t="s">
        <v>4</v>
      </c>
      <c r="B5">
        <v>2415008</v>
      </c>
      <c r="C5">
        <v>1690573</v>
      </c>
      <c r="P5" t="s">
        <v>90</v>
      </c>
      <c r="Q5">
        <v>1.4285144740865967</v>
      </c>
    </row>
    <row r="6" spans="1:17">
      <c r="A6" t="s">
        <v>5</v>
      </c>
      <c r="B6">
        <v>623163</v>
      </c>
      <c r="C6">
        <v>203051</v>
      </c>
      <c r="P6" t="s">
        <v>91</v>
      </c>
      <c r="Q6">
        <v>3.0689974439919037</v>
      </c>
    </row>
    <row r="7" spans="1:17">
      <c r="A7" t="s">
        <v>6</v>
      </c>
      <c r="B7">
        <v>1289747</v>
      </c>
      <c r="C7">
        <v>286270</v>
      </c>
      <c r="P7" t="s">
        <v>92</v>
      </c>
      <c r="Q7">
        <v>4.5053515911552031</v>
      </c>
    </row>
    <row r="8" spans="1:17">
      <c r="A8" t="s">
        <v>7</v>
      </c>
      <c r="B8">
        <v>957995</v>
      </c>
      <c r="C8">
        <v>142885</v>
      </c>
      <c r="P8" t="s">
        <v>93</v>
      </c>
      <c r="Q8">
        <v>6.704657591769605</v>
      </c>
    </row>
    <row r="9" spans="1:17">
      <c r="A9" t="s">
        <v>8</v>
      </c>
      <c r="B9">
        <v>914655</v>
      </c>
      <c r="C9">
        <v>243572</v>
      </c>
      <c r="P9" t="s">
        <v>94</v>
      </c>
      <c r="Q9">
        <v>3.7551730083917692</v>
      </c>
    </row>
    <row r="10" spans="1:17">
      <c r="A10" t="s">
        <v>9</v>
      </c>
      <c r="B10">
        <v>585153</v>
      </c>
      <c r="C10">
        <v>471613</v>
      </c>
      <c r="P10" t="s">
        <v>95</v>
      </c>
      <c r="Q10">
        <v>1.2407482406125361</v>
      </c>
    </row>
    <row r="11" spans="1:17">
      <c r="A11" t="s">
        <v>10</v>
      </c>
      <c r="B11">
        <v>184933</v>
      </c>
      <c r="C11">
        <v>100708</v>
      </c>
      <c r="P11" t="s">
        <v>96</v>
      </c>
      <c r="Q11">
        <v>1.836328792151567</v>
      </c>
    </row>
    <row r="12" spans="1:17">
      <c r="A12" t="s">
        <v>11</v>
      </c>
      <c r="B12">
        <v>570531</v>
      </c>
      <c r="C12">
        <v>724353</v>
      </c>
      <c r="P12" t="s">
        <v>97</v>
      </c>
      <c r="Q12">
        <v>0.78764221311984628</v>
      </c>
    </row>
    <row r="13" spans="1:17">
      <c r="A13" t="s">
        <v>12</v>
      </c>
      <c r="B13">
        <v>1994089</v>
      </c>
      <c r="C13">
        <v>276437</v>
      </c>
      <c r="P13" t="s">
        <v>98</v>
      </c>
      <c r="Q13">
        <v>7.2135387086388576</v>
      </c>
    </row>
    <row r="14" spans="1:17">
      <c r="A14" t="s">
        <v>13</v>
      </c>
      <c r="B14">
        <v>698298</v>
      </c>
      <c r="C14">
        <v>810448</v>
      </c>
      <c r="P14" t="s">
        <v>99</v>
      </c>
      <c r="Q14">
        <v>0.86161974611572856</v>
      </c>
    </row>
    <row r="15" spans="1:17">
      <c r="A15" t="s">
        <v>14</v>
      </c>
      <c r="B15">
        <v>67568282</v>
      </c>
      <c r="C15">
        <v>3969193</v>
      </c>
      <c r="P15" t="s">
        <v>100</v>
      </c>
      <c r="Q15">
        <v>17.023178767069275</v>
      </c>
    </row>
    <row r="16" spans="1:17">
      <c r="A16" t="s">
        <v>15</v>
      </c>
      <c r="B16">
        <v>2921042</v>
      </c>
      <c r="C16">
        <v>5293188</v>
      </c>
      <c r="P16" t="s">
        <v>101</v>
      </c>
      <c r="Q16">
        <v>0.55184928251178689</v>
      </c>
    </row>
    <row r="17" spans="1:17">
      <c r="A17" t="s">
        <v>16</v>
      </c>
      <c r="B17">
        <v>1150318</v>
      </c>
      <c r="C17">
        <v>570257</v>
      </c>
      <c r="P17" t="s">
        <v>102</v>
      </c>
      <c r="Q17">
        <v>2.0171922484072971</v>
      </c>
    </row>
    <row r="18" spans="1:17">
      <c r="A18" t="s">
        <v>17</v>
      </c>
      <c r="B18">
        <v>3136464</v>
      </c>
      <c r="C18">
        <v>877117</v>
      </c>
      <c r="P18" t="s">
        <v>103</v>
      </c>
      <c r="Q18">
        <v>3.5758787026132204</v>
      </c>
    </row>
    <row r="19" spans="1:17">
      <c r="A19" t="s">
        <v>18</v>
      </c>
      <c r="B19">
        <v>2094124</v>
      </c>
      <c r="C19">
        <v>489777</v>
      </c>
      <c r="P19" t="s">
        <v>104</v>
      </c>
      <c r="Q19">
        <v>4.2756683143553085</v>
      </c>
    </row>
    <row r="20" spans="1:17">
      <c r="A20" t="s">
        <v>19</v>
      </c>
      <c r="B20">
        <v>1614744</v>
      </c>
      <c r="C20">
        <v>755259</v>
      </c>
      <c r="P20" t="s">
        <v>105</v>
      </c>
      <c r="Q20">
        <v>2.138000341604668</v>
      </c>
    </row>
    <row r="21" spans="1:17">
      <c r="A21" t="s">
        <v>20</v>
      </c>
      <c r="B21">
        <v>966725</v>
      </c>
      <c r="C21">
        <v>1151796</v>
      </c>
      <c r="P21" t="s">
        <v>106</v>
      </c>
      <c r="Q21">
        <v>0.83931963646340146</v>
      </c>
    </row>
    <row r="22" spans="1:17">
      <c r="A22" t="s">
        <v>21</v>
      </c>
      <c r="B22">
        <v>407917</v>
      </c>
      <c r="C22">
        <v>222975</v>
      </c>
      <c r="P22" t="s">
        <v>107</v>
      </c>
      <c r="Q22">
        <v>1.8294293082184101</v>
      </c>
    </row>
    <row r="23" spans="1:17">
      <c r="A23" t="s">
        <v>22</v>
      </c>
      <c r="B23">
        <v>1009405</v>
      </c>
      <c r="C23">
        <v>1558677</v>
      </c>
      <c r="P23" t="s">
        <v>108</v>
      </c>
      <c r="Q23">
        <v>0.6476037049369433</v>
      </c>
    </row>
    <row r="24" spans="1:17">
      <c r="A24" t="s">
        <v>23</v>
      </c>
      <c r="B24">
        <v>4123295</v>
      </c>
      <c r="C24">
        <v>946041</v>
      </c>
      <c r="P24" t="s">
        <v>109</v>
      </c>
      <c r="Q24">
        <v>4.3584738927805455</v>
      </c>
    </row>
    <row r="25" spans="1:17">
      <c r="A25" t="s">
        <v>24</v>
      </c>
      <c r="B25">
        <v>1291705</v>
      </c>
      <c r="C25">
        <v>1701600</v>
      </c>
      <c r="P25" t="s">
        <v>110</v>
      </c>
      <c r="Q25">
        <v>0.75911201222378932</v>
      </c>
    </row>
    <row r="26" spans="1:17">
      <c r="A26" t="s">
        <v>25</v>
      </c>
      <c r="B26">
        <v>178040264</v>
      </c>
      <c r="C26">
        <v>14290966</v>
      </c>
      <c r="P26" t="s">
        <v>111</v>
      </c>
      <c r="Q26">
        <v>12.458238582332363</v>
      </c>
    </row>
    <row r="27" spans="1:17">
      <c r="A27" t="s">
        <v>26</v>
      </c>
      <c r="B27">
        <v>3816929</v>
      </c>
      <c r="C27">
        <v>12283057</v>
      </c>
      <c r="P27" t="s">
        <v>112</v>
      </c>
      <c r="Q27">
        <v>0.31074747923094387</v>
      </c>
    </row>
    <row r="28" spans="1:17">
      <c r="A28" t="s">
        <v>27</v>
      </c>
      <c r="B28">
        <v>2214436</v>
      </c>
      <c r="C28">
        <v>1490323</v>
      </c>
      <c r="P28" t="s">
        <v>113</v>
      </c>
      <c r="Q28">
        <v>1.4858765515931782</v>
      </c>
    </row>
    <row r="29" spans="1:17">
      <c r="A29" t="s">
        <v>28</v>
      </c>
      <c r="B29">
        <v>5976788</v>
      </c>
      <c r="C29">
        <v>2072257</v>
      </c>
      <c r="P29" t="s">
        <v>114</v>
      </c>
      <c r="Q29">
        <v>2.8841924529631218</v>
      </c>
    </row>
    <row r="30" spans="1:17">
      <c r="A30" t="s">
        <v>29</v>
      </c>
      <c r="B30">
        <v>4557868</v>
      </c>
      <c r="C30">
        <v>1550111</v>
      </c>
      <c r="P30" t="s">
        <v>115</v>
      </c>
      <c r="Q30">
        <v>2.9403494330406015</v>
      </c>
    </row>
    <row r="31" spans="1:17">
      <c r="A31" t="s">
        <v>30</v>
      </c>
      <c r="B31">
        <v>2748034</v>
      </c>
      <c r="C31">
        <v>2049741</v>
      </c>
      <c r="P31" t="s">
        <v>116</v>
      </c>
      <c r="Q31">
        <v>1.3406737729303362</v>
      </c>
    </row>
    <row r="32" spans="1:17">
      <c r="A32" t="s">
        <v>31</v>
      </c>
      <c r="B32">
        <v>1637543</v>
      </c>
      <c r="C32">
        <v>2472206</v>
      </c>
      <c r="P32" t="s">
        <v>117</v>
      </c>
      <c r="Q32">
        <v>0.66238129023228642</v>
      </c>
    </row>
    <row r="33" spans="1:17">
      <c r="A33" t="s">
        <v>32</v>
      </c>
      <c r="B33">
        <v>812391</v>
      </c>
      <c r="C33">
        <v>506666</v>
      </c>
      <c r="P33" t="s">
        <v>118</v>
      </c>
      <c r="Q33">
        <v>1.6034053992176305</v>
      </c>
    </row>
    <row r="34" spans="1:17">
      <c r="P34" t="s">
        <v>154</v>
      </c>
      <c r="Q34">
        <f>GEOMEAN(Q1:Q33)</f>
        <v>2.2213230118472178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DBC6-C15E-47A3-8D72-FB72546B1E99}">
  <dimension ref="A1:E34"/>
  <sheetViews>
    <sheetView tabSelected="1" workbookViewId="0">
      <selection activeCell="I10" sqref="I10"/>
    </sheetView>
  </sheetViews>
  <sheetFormatPr defaultRowHeight="14.25"/>
  <cols>
    <col min="1" max="1" width="22.5" customWidth="1"/>
    <col min="4" max="4" width="20.625" customWidth="1"/>
  </cols>
  <sheetData>
    <row r="1" spans="1:5">
      <c r="A1" t="s">
        <v>203</v>
      </c>
      <c r="D1" t="s">
        <v>204</v>
      </c>
    </row>
    <row r="2" spans="1:5">
      <c r="A2" t="s">
        <v>68</v>
      </c>
      <c r="B2">
        <v>128525681193</v>
      </c>
      <c r="D2" t="s">
        <v>33</v>
      </c>
      <c r="E2">
        <v>122904427004</v>
      </c>
    </row>
    <row r="3" spans="1:5">
      <c r="A3" t="s">
        <v>1</v>
      </c>
      <c r="B3">
        <v>198475866859</v>
      </c>
      <c r="D3" t="s">
        <v>34</v>
      </c>
      <c r="E3">
        <v>13575761550</v>
      </c>
    </row>
    <row r="4" spans="1:5">
      <c r="A4" t="s">
        <v>2</v>
      </c>
      <c r="B4">
        <v>162250138928</v>
      </c>
      <c r="D4" t="s">
        <v>35</v>
      </c>
      <c r="E4">
        <v>148748410047</v>
      </c>
    </row>
    <row r="5" spans="1:5">
      <c r="A5" t="s">
        <v>3</v>
      </c>
      <c r="B5">
        <v>4038011910306</v>
      </c>
      <c r="D5" t="s">
        <v>36</v>
      </c>
      <c r="E5">
        <v>34259536386</v>
      </c>
    </row>
    <row r="6" spans="1:5">
      <c r="A6" t="s">
        <v>4</v>
      </c>
      <c r="B6">
        <v>795199657102</v>
      </c>
      <c r="D6" t="s">
        <v>37</v>
      </c>
      <c r="E6">
        <v>372177054594</v>
      </c>
    </row>
    <row r="7" spans="1:5">
      <c r="A7" t="s">
        <v>5</v>
      </c>
      <c r="B7">
        <v>178212089850</v>
      </c>
      <c r="D7" t="s">
        <v>38</v>
      </c>
      <c r="E7">
        <v>47800859865</v>
      </c>
    </row>
    <row r="8" spans="1:5">
      <c r="A8" t="s">
        <v>6</v>
      </c>
      <c r="B8">
        <v>316203266873</v>
      </c>
      <c r="D8" t="s">
        <v>39</v>
      </c>
      <c r="E8">
        <v>77669483555</v>
      </c>
    </row>
    <row r="9" spans="1:5">
      <c r="A9" t="s">
        <v>7</v>
      </c>
      <c r="B9">
        <v>239986550014</v>
      </c>
      <c r="D9" t="s">
        <v>40</v>
      </c>
      <c r="E9">
        <v>35213679857</v>
      </c>
    </row>
    <row r="10" spans="1:5">
      <c r="A10" t="s">
        <v>8</v>
      </c>
      <c r="B10">
        <v>231554145149</v>
      </c>
      <c r="D10" t="s">
        <v>41</v>
      </c>
      <c r="E10">
        <v>26233057306</v>
      </c>
    </row>
    <row r="11" spans="1:5">
      <c r="A11" t="s">
        <v>9</v>
      </c>
      <c r="B11">
        <v>223557070128</v>
      </c>
      <c r="D11" t="s">
        <v>42</v>
      </c>
      <c r="E11">
        <v>122942849076</v>
      </c>
    </row>
    <row r="12" spans="1:5">
      <c r="A12" t="s">
        <v>10</v>
      </c>
      <c r="B12">
        <v>57336605500</v>
      </c>
      <c r="D12" t="s">
        <v>43</v>
      </c>
      <c r="E12">
        <v>44129070344</v>
      </c>
    </row>
    <row r="13" spans="1:5">
      <c r="A13" t="s">
        <v>11</v>
      </c>
      <c r="B13">
        <v>264311593239</v>
      </c>
      <c r="D13" t="s">
        <v>44</v>
      </c>
      <c r="E13">
        <v>286271801163</v>
      </c>
    </row>
    <row r="14" spans="1:5">
      <c r="A14" t="s">
        <v>12</v>
      </c>
      <c r="B14">
        <v>455292956051</v>
      </c>
      <c r="D14" t="s">
        <v>45</v>
      </c>
      <c r="E14">
        <v>26641880158</v>
      </c>
    </row>
    <row r="15" spans="1:5">
      <c r="A15" t="s">
        <v>13</v>
      </c>
      <c r="B15">
        <v>331468189317</v>
      </c>
      <c r="D15" t="s">
        <v>46</v>
      </c>
      <c r="E15">
        <v>366289880595</v>
      </c>
    </row>
    <row r="16" spans="1:5">
      <c r="A16" t="s">
        <v>14</v>
      </c>
      <c r="B16">
        <v>12857748010102</v>
      </c>
      <c r="D16" t="s">
        <v>47</v>
      </c>
      <c r="E16">
        <v>67397099474</v>
      </c>
    </row>
    <row r="17" spans="1:5">
      <c r="A17" t="s">
        <v>15</v>
      </c>
      <c r="B17">
        <v>1610638465658</v>
      </c>
      <c r="D17" t="s">
        <v>48</v>
      </c>
      <c r="E17">
        <v>1642222720368</v>
      </c>
    </row>
    <row r="18" spans="1:5">
      <c r="A18" t="s">
        <v>16</v>
      </c>
      <c r="B18">
        <v>368809104237</v>
      </c>
      <c r="D18" t="s">
        <v>49</v>
      </c>
      <c r="E18">
        <v>133659109860</v>
      </c>
    </row>
    <row r="19" spans="1:5">
      <c r="A19" t="s">
        <v>17</v>
      </c>
      <c r="B19">
        <v>782992557256</v>
      </c>
      <c r="D19" t="s">
        <v>50</v>
      </c>
      <c r="E19">
        <v>172754994484</v>
      </c>
    </row>
    <row r="20" spans="1:5">
      <c r="A20" t="s">
        <v>18</v>
      </c>
      <c r="B20">
        <v>549730683751</v>
      </c>
      <c r="D20" t="s">
        <v>51</v>
      </c>
      <c r="E20">
        <v>74586084965</v>
      </c>
    </row>
    <row r="21" spans="1:5">
      <c r="A21" t="s">
        <v>19</v>
      </c>
      <c r="B21">
        <v>471070873928</v>
      </c>
      <c r="D21" t="s">
        <v>52</v>
      </c>
      <c r="E21">
        <v>120477738479</v>
      </c>
    </row>
    <row r="22" spans="1:5">
      <c r="A22" t="s">
        <v>20</v>
      </c>
      <c r="B22">
        <v>451417536651</v>
      </c>
      <c r="D22" t="s">
        <v>53</v>
      </c>
      <c r="E22">
        <v>353317955221</v>
      </c>
    </row>
    <row r="23" spans="1:5">
      <c r="A23" t="s">
        <v>21</v>
      </c>
      <c r="B23">
        <v>128547240758</v>
      </c>
      <c r="D23" t="s">
        <v>54</v>
      </c>
      <c r="E23">
        <v>88648670530</v>
      </c>
    </row>
    <row r="24" spans="1:5">
      <c r="A24" t="s">
        <v>22</v>
      </c>
      <c r="B24">
        <v>522951248681</v>
      </c>
      <c r="D24" t="s">
        <v>55</v>
      </c>
      <c r="E24">
        <v>652642736825</v>
      </c>
    </row>
    <row r="25" spans="1:5">
      <c r="A25" t="s">
        <v>23</v>
      </c>
      <c r="B25">
        <v>997703831700</v>
      </c>
      <c r="D25" t="s">
        <v>56</v>
      </c>
      <c r="E25">
        <v>67547923291</v>
      </c>
    </row>
    <row r="26" spans="1:5">
      <c r="A26" t="s">
        <v>24</v>
      </c>
      <c r="B26">
        <v>667829730761</v>
      </c>
      <c r="D26" t="s">
        <v>57</v>
      </c>
      <c r="E26">
        <v>801309693934</v>
      </c>
    </row>
    <row r="27" spans="1:5">
      <c r="A27" t="s">
        <v>25</v>
      </c>
      <c r="B27">
        <v>34352275541448</v>
      </c>
      <c r="D27" t="s">
        <v>58</v>
      </c>
      <c r="E27">
        <v>133608667821</v>
      </c>
    </row>
    <row r="28" spans="1:5">
      <c r="A28" t="s">
        <v>26</v>
      </c>
      <c r="B28">
        <v>3213808042564</v>
      </c>
      <c r="D28" t="s">
        <v>59</v>
      </c>
      <c r="E28">
        <v>5232640137298</v>
      </c>
    </row>
    <row r="29" spans="1:5">
      <c r="A29" t="s">
        <v>27</v>
      </c>
      <c r="B29">
        <v>787602575600</v>
      </c>
      <c r="D29" t="s">
        <v>60</v>
      </c>
      <c r="E29">
        <v>396553633320</v>
      </c>
    </row>
    <row r="30" spans="1:5">
      <c r="A30" t="s">
        <v>28</v>
      </c>
      <c r="B30">
        <v>1554413152456</v>
      </c>
      <c r="D30" t="s">
        <v>61</v>
      </c>
      <c r="E30">
        <v>379403428342</v>
      </c>
    </row>
    <row r="31" spans="1:5">
      <c r="A31" t="s">
        <v>29</v>
      </c>
      <c r="B31">
        <v>1251773912456</v>
      </c>
      <c r="D31" t="s">
        <v>62</v>
      </c>
      <c r="E31">
        <v>267519752213</v>
      </c>
    </row>
    <row r="32" spans="1:5">
      <c r="A32" t="s">
        <v>30</v>
      </c>
      <c r="B32">
        <v>949080871433</v>
      </c>
      <c r="D32" t="s">
        <v>63</v>
      </c>
      <c r="E32">
        <v>423803715525</v>
      </c>
    </row>
    <row r="33" spans="1:5">
      <c r="A33" t="s">
        <v>31</v>
      </c>
      <c r="B33">
        <v>908936367300</v>
      </c>
      <c r="D33" t="s">
        <v>64</v>
      </c>
      <c r="E33">
        <v>1000145138580</v>
      </c>
    </row>
    <row r="34" spans="1:5">
      <c r="A34" t="s">
        <v>32</v>
      </c>
      <c r="B34">
        <v>272015820996</v>
      </c>
      <c r="D34" t="s">
        <v>65</v>
      </c>
      <c r="E34">
        <v>191293500010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exetime</vt:lpstr>
      <vt:lpstr>nscure</vt:lpstr>
      <vt:lpstr>stash_size</vt:lpstr>
      <vt:lpstr>eviction_level</vt:lpstr>
      <vt:lpstr>hit location</vt:lpstr>
      <vt:lpstr>Sensitive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2021-12-26T08:07:14Z</dcterms:modified>
</cp:coreProperties>
</file>